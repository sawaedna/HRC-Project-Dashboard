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9C5BD0A8-E24E-4EFC-9EE1-E38D0A76AF7B}" xr6:coauthVersionLast="47" xr6:coauthVersionMax="47" xr10:uidLastSave="{00000000-0000-0000-0000-000000000000}"/>
  <bookViews>
    <workbookView xWindow="-28920" yWindow="208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J16" i="1" s="1"/>
  <c r="I15" i="1"/>
  <c r="J15" i="1" s="1"/>
  <c r="K16" i="1" l="1"/>
  <c r="L16" i="1"/>
  <c r="N16" i="1" s="1"/>
  <c r="K15" i="1"/>
  <c r="L15" i="1"/>
  <c r="N15" i="1" s="1"/>
  <c r="I18" i="1" l="1"/>
  <c r="J18" i="1" s="1"/>
  <c r="I19" i="1"/>
  <c r="J19" i="1" s="1"/>
  <c r="L18" i="1" l="1"/>
  <c r="N18" i="1" s="1"/>
  <c r="K18" i="1"/>
  <c r="L19" i="1"/>
  <c r="N19" i="1" s="1"/>
  <c r="K19" i="1"/>
  <c r="I17" i="1"/>
  <c r="J17" i="1" s="1"/>
  <c r="K17" i="1" s="1"/>
  <c r="L17" i="1" l="1"/>
  <c r="N17" i="1" s="1"/>
  <c r="I2" i="1" l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<sst xmlns="http://schemas.openxmlformats.org/spreadsheetml/2006/main" count="70" uniqueCount="29">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</sst>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9"/>
  <sheetViews>
    <sheetView tabSelected="1" workbookViewId="0">
      <selection activeCell="K9" sqref="K9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20" customFormat="1" ht="56.4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</row>
    <row r="2" spans="1:16" ht="15.75" customHeight="1" x14ac:dyDescent="0.2">
      <c r="A2" s="3">
        <v>1</v>
      </c>
      <c r="B2" s="3" t="s">
        <v>16</v>
      </c>
      <c r="C2" s="3" t="s">
        <v>17</v>
      </c>
      <c r="D2" s="3">
        <v>1</v>
      </c>
      <c r="E2" s="4" t="s">
        <v>18</v>
      </c>
      <c r="F2" s="5">
        <v>45961</v>
      </c>
      <c r="G2" s="3">
        <v>29.3</v>
      </c>
      <c r="H2" s="5">
        <v>45987</v>
      </c>
      <c r="I2" s="5">
        <f t="shared" ref="I2:I19" ca="1" si="0">TODAY()</f>
        <v>45998</v>
      </c>
      <c r="J2" s="3">
        <v>29</v>
      </c>
      <c r="K2" s="3">
        <f t="shared" ref="K2:K17" si="1">IF(G2="",0,MAX(0,G2-J2))</f>
        <v>0.30000000000000071</v>
      </c>
      <c r="L2" s="8">
        <f t="shared" ref="L2:L17" si="2">IF(OR(G2="",G2=0),0,MIN(1,MAX(0,J2/G2)))</f>
        <v>0.98976109215017061</v>
      </c>
      <c r="M2" s="8">
        <v>0.99</v>
      </c>
      <c r="N2" s="6">
        <f t="shared" ref="N2:N17" si="3">IF(M2="",0,M2-L2)</f>
        <v>2.3890784982938396E-4</v>
      </c>
      <c r="O2" s="3">
        <v>24.759638299999999</v>
      </c>
      <c r="P2" s="3">
        <v>46.527646799999999</v>
      </c>
    </row>
    <row r="3" spans="1:16" ht="15.75" customHeight="1" x14ac:dyDescent="0.2">
      <c r="A3" s="3">
        <v>1</v>
      </c>
      <c r="B3" s="3" t="s">
        <v>16</v>
      </c>
      <c r="C3" s="3" t="s">
        <v>17</v>
      </c>
      <c r="D3" s="3">
        <v>2</v>
      </c>
      <c r="E3" s="4" t="s">
        <v>19</v>
      </c>
      <c r="F3" s="5">
        <v>45884</v>
      </c>
      <c r="G3" s="3">
        <v>115</v>
      </c>
      <c r="H3" s="5">
        <v>45983</v>
      </c>
      <c r="I3" s="5">
        <f t="shared" ca="1" si="0"/>
        <v>45998</v>
      </c>
      <c r="J3" s="3">
        <f t="shared" ref="J3:J17" ca="1" si="4">IF(F3="",0,MAX(0,I3-F3))</f>
        <v>114</v>
      </c>
      <c r="K3" s="3">
        <f t="shared" ca="1" si="1"/>
        <v>1</v>
      </c>
      <c r="L3" s="8">
        <f t="shared" ca="1" si="2"/>
        <v>0.99130434782608701</v>
      </c>
      <c r="M3" s="8">
        <v>0.99129999999999996</v>
      </c>
      <c r="N3" s="6">
        <f t="shared" ca="1" si="3"/>
        <v>-4.347826087047757E-6</v>
      </c>
      <c r="O3" s="3">
        <v>24.759638299999999</v>
      </c>
      <c r="P3" s="3">
        <v>46.527646799999999</v>
      </c>
    </row>
    <row r="4" spans="1:16" ht="15.75" customHeight="1" x14ac:dyDescent="0.2">
      <c r="A4" s="3">
        <v>1</v>
      </c>
      <c r="B4" s="3" t="s">
        <v>16</v>
      </c>
      <c r="C4" s="3" t="s">
        <v>17</v>
      </c>
      <c r="D4" s="3">
        <v>3</v>
      </c>
      <c r="E4" s="4" t="s">
        <v>24</v>
      </c>
      <c r="F4" s="5">
        <v>45925</v>
      </c>
      <c r="G4" s="3">
        <v>73.7</v>
      </c>
      <c r="H4" s="5">
        <v>45963</v>
      </c>
      <c r="I4" s="5">
        <f t="shared" ca="1" si="0"/>
        <v>45998</v>
      </c>
      <c r="J4" s="3">
        <f t="shared" ca="1" si="4"/>
        <v>73</v>
      </c>
      <c r="K4" s="3">
        <f t="shared" ca="1" si="1"/>
        <v>0.70000000000000284</v>
      </c>
      <c r="L4" s="8">
        <f t="shared" ca="1" si="2"/>
        <v>0.99050203527815461</v>
      </c>
      <c r="M4" s="8">
        <v>0.99050000000000005</v>
      </c>
      <c r="N4" s="6">
        <f t="shared" ca="1" si="3"/>
        <v>-2.0352781545662779E-6</v>
      </c>
      <c r="O4" s="3">
        <v>24.759638299999999</v>
      </c>
      <c r="P4" s="3">
        <v>46.527646799999999</v>
      </c>
    </row>
    <row r="5" spans="1:16" ht="15.75" customHeight="1" x14ac:dyDescent="0.2">
      <c r="A5" s="2">
        <v>2</v>
      </c>
      <c r="B5" s="2" t="s">
        <v>16</v>
      </c>
      <c r="C5" s="9" t="s">
        <v>20</v>
      </c>
      <c r="D5" s="9">
        <v>3</v>
      </c>
      <c r="E5" s="10" t="s">
        <v>24</v>
      </c>
      <c r="F5" s="11">
        <v>45959</v>
      </c>
      <c r="G5" s="9">
        <v>54.5</v>
      </c>
      <c r="H5" s="11">
        <v>45998</v>
      </c>
      <c r="I5" s="11">
        <f t="shared" ca="1" si="0"/>
        <v>45998</v>
      </c>
      <c r="J5" s="9">
        <f t="shared" ca="1" si="4"/>
        <v>39</v>
      </c>
      <c r="K5" s="9">
        <f t="shared" ca="1" si="1"/>
        <v>15.5</v>
      </c>
      <c r="L5" s="12">
        <f t="shared" ca="1" si="2"/>
        <v>0.7155963302752294</v>
      </c>
      <c r="M5" s="12">
        <v>0.72</v>
      </c>
      <c r="N5" s="13">
        <f t="shared" ca="1" si="3"/>
        <v>4.4036697247705758E-3</v>
      </c>
      <c r="O5" s="9">
        <v>28.420234799999999</v>
      </c>
      <c r="P5" s="9">
        <v>36.531748100000002</v>
      </c>
    </row>
    <row r="6" spans="1:16" ht="15.75" customHeight="1" x14ac:dyDescent="0.2">
      <c r="A6" s="2">
        <v>2</v>
      </c>
      <c r="B6" s="2" t="s">
        <v>16</v>
      </c>
      <c r="C6" s="9" t="s">
        <v>20</v>
      </c>
      <c r="D6" s="9">
        <v>1</v>
      </c>
      <c r="E6" s="10" t="s">
        <v>18</v>
      </c>
      <c r="F6" s="11">
        <v>45961</v>
      </c>
      <c r="G6" s="9">
        <v>53.7</v>
      </c>
      <c r="H6" s="11">
        <v>46001</v>
      </c>
      <c r="I6" s="11">
        <f t="shared" ca="1" si="0"/>
        <v>45998</v>
      </c>
      <c r="J6" s="9">
        <f t="shared" ca="1" si="4"/>
        <v>37</v>
      </c>
      <c r="K6" s="9">
        <f t="shared" ca="1" si="1"/>
        <v>16.700000000000003</v>
      </c>
      <c r="L6" s="12">
        <f t="shared" ca="1" si="2"/>
        <v>0.6890130353817504</v>
      </c>
      <c r="M6" s="12">
        <v>0.69</v>
      </c>
      <c r="N6" s="13">
        <f t="shared" ca="1" si="3"/>
        <v>9.8696461824954174E-4</v>
      </c>
      <c r="O6" s="9">
        <v>28.420234799999999</v>
      </c>
      <c r="P6" s="9">
        <v>36.531748100000002</v>
      </c>
    </row>
    <row r="7" spans="1:16" ht="15.75" customHeight="1" x14ac:dyDescent="0.2">
      <c r="A7" s="2">
        <v>2</v>
      </c>
      <c r="B7" s="2" t="s">
        <v>16</v>
      </c>
      <c r="C7" s="9" t="s">
        <v>20</v>
      </c>
      <c r="D7" s="9">
        <v>2</v>
      </c>
      <c r="E7" s="10" t="s">
        <v>19</v>
      </c>
      <c r="F7" s="11">
        <v>45949</v>
      </c>
      <c r="G7" s="9">
        <v>70</v>
      </c>
      <c r="H7" s="11">
        <v>46001</v>
      </c>
      <c r="I7" s="11">
        <f t="shared" ca="1" si="0"/>
        <v>45998</v>
      </c>
      <c r="J7" s="9">
        <f t="shared" ca="1" si="4"/>
        <v>49</v>
      </c>
      <c r="K7" s="9">
        <f t="shared" ca="1" si="1"/>
        <v>21</v>
      </c>
      <c r="L7" s="12">
        <f t="shared" ca="1" si="2"/>
        <v>0.7</v>
      </c>
      <c r="M7" s="12">
        <v>0.7</v>
      </c>
      <c r="N7" s="13">
        <f t="shared" ca="1" si="3"/>
        <v>0</v>
      </c>
      <c r="O7" s="9">
        <v>28.420234799999999</v>
      </c>
      <c r="P7" s="9">
        <v>36.531748100000002</v>
      </c>
    </row>
    <row r="8" spans="1:16" ht="15.75" customHeight="1" x14ac:dyDescent="0.2">
      <c r="A8" s="7">
        <v>4</v>
      </c>
      <c r="B8" s="7" t="s">
        <v>16</v>
      </c>
      <c r="C8" s="14" t="s">
        <v>22</v>
      </c>
      <c r="D8" s="14">
        <v>3</v>
      </c>
      <c r="E8" s="15" t="s">
        <v>24</v>
      </c>
      <c r="F8" s="16">
        <v>45958</v>
      </c>
      <c r="G8" s="14">
        <v>51.5</v>
      </c>
      <c r="H8" s="16">
        <v>46001</v>
      </c>
      <c r="I8" s="16">
        <f t="shared" ca="1" si="0"/>
        <v>45998</v>
      </c>
      <c r="J8" s="14">
        <f t="shared" ca="1" si="4"/>
        <v>40</v>
      </c>
      <c r="K8" s="14">
        <f t="shared" ca="1" si="1"/>
        <v>11.5</v>
      </c>
      <c r="L8" s="17">
        <f t="shared" ca="1" si="2"/>
        <v>0.77669902912621358</v>
      </c>
      <c r="M8" s="17">
        <v>0.77669999999999995</v>
      </c>
      <c r="N8" s="18">
        <f t="shared" ca="1" si="3"/>
        <v>9.7087378636562249E-7</v>
      </c>
      <c r="O8" s="14">
        <v>30.008533100000001</v>
      </c>
      <c r="P8" s="14">
        <v>40.2162997</v>
      </c>
    </row>
    <row r="9" spans="1:16" ht="15.75" customHeight="1" x14ac:dyDescent="0.2">
      <c r="A9" s="7">
        <v>4</v>
      </c>
      <c r="B9" s="7" t="s">
        <v>16</v>
      </c>
      <c r="C9" s="14" t="s">
        <v>22</v>
      </c>
      <c r="D9" s="14">
        <v>1</v>
      </c>
      <c r="E9" s="15" t="s">
        <v>18</v>
      </c>
      <c r="F9" s="16">
        <v>45971</v>
      </c>
      <c r="G9" s="14">
        <v>53</v>
      </c>
      <c r="H9" s="16">
        <v>46001</v>
      </c>
      <c r="I9" s="16">
        <f t="shared" ca="1" si="0"/>
        <v>45998</v>
      </c>
      <c r="J9" s="14">
        <f t="shared" ca="1" si="4"/>
        <v>27</v>
      </c>
      <c r="K9" s="14">
        <f t="shared" ca="1" si="1"/>
        <v>26</v>
      </c>
      <c r="L9" s="17">
        <f t="shared" ca="1" si="2"/>
        <v>0.50943396226415094</v>
      </c>
      <c r="M9" s="17">
        <v>0.51500000000000001</v>
      </c>
      <c r="N9" s="18">
        <f t="shared" ca="1" si="3"/>
        <v>5.566037735849072E-3</v>
      </c>
      <c r="O9" s="14">
        <v>30.008533100000001</v>
      </c>
      <c r="P9" s="14">
        <v>40.2162997</v>
      </c>
    </row>
    <row r="10" spans="1:16" ht="15.75" customHeight="1" x14ac:dyDescent="0.2">
      <c r="A10" s="7">
        <v>4</v>
      </c>
      <c r="B10" s="7" t="s">
        <v>16</v>
      </c>
      <c r="C10" s="14" t="s">
        <v>22</v>
      </c>
      <c r="D10" s="14">
        <v>2</v>
      </c>
      <c r="E10" s="15" t="s">
        <v>19</v>
      </c>
      <c r="F10" s="16">
        <v>45967</v>
      </c>
      <c r="G10" s="14">
        <v>41.5</v>
      </c>
      <c r="H10" s="16">
        <v>46001</v>
      </c>
      <c r="I10" s="16">
        <f t="shared" ca="1" si="0"/>
        <v>45998</v>
      </c>
      <c r="J10" s="14">
        <f t="shared" ca="1" si="4"/>
        <v>31</v>
      </c>
      <c r="K10" s="14">
        <f t="shared" ca="1" si="1"/>
        <v>10.5</v>
      </c>
      <c r="L10" s="17">
        <f t="shared" ca="1" si="2"/>
        <v>0.74698795180722888</v>
      </c>
      <c r="M10" s="17">
        <v>0.755</v>
      </c>
      <c r="N10" s="18">
        <f t="shared" ca="1" si="3"/>
        <v>8.0120481927711262E-3</v>
      </c>
      <c r="O10" s="14">
        <v>30.008533100000001</v>
      </c>
      <c r="P10" s="14">
        <v>40.2162997</v>
      </c>
    </row>
    <row r="11" spans="1:16" ht="15.75" customHeight="1" x14ac:dyDescent="0.2">
      <c r="A11" s="37">
        <v>5</v>
      </c>
      <c r="B11" s="37" t="s">
        <v>16</v>
      </c>
      <c r="C11" s="37" t="s">
        <v>23</v>
      </c>
      <c r="D11" s="37">
        <v>1</v>
      </c>
      <c r="E11" s="38" t="s">
        <v>18</v>
      </c>
      <c r="F11" s="39">
        <v>45975</v>
      </c>
      <c r="G11" s="37">
        <v>33.5</v>
      </c>
      <c r="H11" s="39">
        <v>46001</v>
      </c>
      <c r="I11" s="39">
        <f t="shared" ca="1" si="0"/>
        <v>45998</v>
      </c>
      <c r="J11" s="37">
        <f t="shared" ca="1" si="4"/>
        <v>23</v>
      </c>
      <c r="K11" s="37">
        <f t="shared" ca="1" si="1"/>
        <v>10.5</v>
      </c>
      <c r="L11" s="40">
        <f t="shared" ca="1" si="2"/>
        <v>0.68656716417910446</v>
      </c>
      <c r="M11" s="42">
        <v>0.69</v>
      </c>
      <c r="N11" s="41">
        <f t="shared" ca="1" si="3"/>
        <v>3.4328358208954857E-3</v>
      </c>
      <c r="O11" s="37">
        <v>17.564813900000001</v>
      </c>
      <c r="P11" s="37">
        <v>44.316760500000001</v>
      </c>
    </row>
    <row r="12" spans="1:16" ht="15.75" customHeight="1" x14ac:dyDescent="0.2">
      <c r="A12" s="37">
        <v>5</v>
      </c>
      <c r="B12" s="37" t="s">
        <v>16</v>
      </c>
      <c r="C12" s="37" t="s">
        <v>23</v>
      </c>
      <c r="D12" s="37">
        <v>3</v>
      </c>
      <c r="E12" s="38" t="s">
        <v>24</v>
      </c>
      <c r="F12" s="39">
        <v>45950</v>
      </c>
      <c r="G12" s="37">
        <v>67.5</v>
      </c>
      <c r="H12" s="39">
        <v>46001</v>
      </c>
      <c r="I12" s="39">
        <f t="shared" ca="1" si="0"/>
        <v>45998</v>
      </c>
      <c r="J12" s="37">
        <f t="shared" ca="1" si="4"/>
        <v>48</v>
      </c>
      <c r="K12" s="37">
        <f t="shared" ca="1" si="1"/>
        <v>19.5</v>
      </c>
      <c r="L12" s="40">
        <f t="shared" ca="1" si="2"/>
        <v>0.71111111111111114</v>
      </c>
      <c r="M12" s="42">
        <v>0.71350000000000002</v>
      </c>
      <c r="N12" s="41">
        <f t="shared" ca="1" si="3"/>
        <v>2.3888888888888848E-3</v>
      </c>
      <c r="O12" s="37">
        <v>17.564813900000001</v>
      </c>
      <c r="P12" s="37">
        <v>44.316760500000001</v>
      </c>
    </row>
    <row r="13" spans="1:16" ht="15.75" customHeight="1" x14ac:dyDescent="0.2">
      <c r="A13" s="37">
        <v>5</v>
      </c>
      <c r="B13" s="37" t="s">
        <v>16</v>
      </c>
      <c r="C13" s="37" t="s">
        <v>23</v>
      </c>
      <c r="D13" s="37">
        <v>2</v>
      </c>
      <c r="E13" s="38" t="s">
        <v>19</v>
      </c>
      <c r="F13" s="39">
        <v>45945</v>
      </c>
      <c r="G13" s="37">
        <v>76</v>
      </c>
      <c r="H13" s="39">
        <v>46001</v>
      </c>
      <c r="I13" s="39">
        <f t="shared" ca="1" si="0"/>
        <v>45998</v>
      </c>
      <c r="J13" s="37">
        <f t="shared" ca="1" si="4"/>
        <v>53</v>
      </c>
      <c r="K13" s="37">
        <f t="shared" ca="1" si="1"/>
        <v>23</v>
      </c>
      <c r="L13" s="40">
        <f t="shared" ca="1" si="2"/>
        <v>0.69736842105263153</v>
      </c>
      <c r="M13" s="42">
        <v>0.7</v>
      </c>
      <c r="N13" s="41">
        <f t="shared" ca="1" si="3"/>
        <v>2.6315789473684292E-3</v>
      </c>
      <c r="O13" s="37">
        <v>17.564813900000001</v>
      </c>
      <c r="P13" s="37">
        <v>44.316760500000001</v>
      </c>
    </row>
    <row r="14" spans="1:16" ht="15.75" customHeight="1" x14ac:dyDescent="0.2">
      <c r="A14" s="32">
        <v>3</v>
      </c>
      <c r="B14" s="32" t="s">
        <v>16</v>
      </c>
      <c r="C14" s="32" t="s">
        <v>21</v>
      </c>
      <c r="D14" s="32">
        <v>1</v>
      </c>
      <c r="E14" s="33" t="s">
        <v>18</v>
      </c>
      <c r="F14" s="34">
        <v>45981</v>
      </c>
      <c r="G14" s="32">
        <v>106.5</v>
      </c>
      <c r="H14" s="34">
        <v>46001</v>
      </c>
      <c r="I14" s="34">
        <f t="shared" ca="1" si="0"/>
        <v>45998</v>
      </c>
      <c r="J14" s="32">
        <f ca="1">IF(F14="",0,MAX(0,I14-F14))</f>
        <v>17</v>
      </c>
      <c r="K14" s="32">
        <f ca="1">IF(G14="",0,MAX(0,G14-J14))</f>
        <v>89.5</v>
      </c>
      <c r="L14" s="35">
        <f ca="1">IF(OR(G14="",G14=0),0,MIN(1,MAX(0,J14/G14)))</f>
        <v>0.15962441314553991</v>
      </c>
      <c r="M14" s="42">
        <v>0.16</v>
      </c>
      <c r="N14" s="36">
        <f ca="1">IF(M14="",0,M14-L14)</f>
        <v>3.755868544600971E-4</v>
      </c>
      <c r="O14" s="32">
        <v>27.4742721</v>
      </c>
      <c r="P14" s="32">
        <v>41.703162800000001</v>
      </c>
    </row>
    <row r="15" spans="1:16" ht="15.75" customHeight="1" x14ac:dyDescent="0.2">
      <c r="A15" s="32">
        <v>3</v>
      </c>
      <c r="B15" s="32" t="s">
        <v>16</v>
      </c>
      <c r="C15" s="32" t="s">
        <v>21</v>
      </c>
      <c r="D15" s="32">
        <v>1</v>
      </c>
      <c r="E15" s="33" t="s">
        <v>24</v>
      </c>
      <c r="F15" s="34">
        <v>45981</v>
      </c>
      <c r="G15" s="32">
        <v>77.5</v>
      </c>
      <c r="H15" s="34">
        <v>46001</v>
      </c>
      <c r="I15" s="34">
        <f t="shared" ca="1" si="0"/>
        <v>45998</v>
      </c>
      <c r="J15" s="32">
        <f ca="1">IF(F15="",0,MAX(0,I15-F15))</f>
        <v>17</v>
      </c>
      <c r="K15" s="32">
        <f ca="1">IF(G15="",0,MAX(0,G15-J15))</f>
        <v>60.5</v>
      </c>
      <c r="L15" s="35">
        <f ca="1">IF(OR(G15="",G15=0),0,MIN(1,MAX(0,J15/G15)))</f>
        <v>0.21935483870967742</v>
      </c>
      <c r="M15" s="42">
        <v>0.22</v>
      </c>
      <c r="N15" s="36">
        <f ca="1">IF(M15="",0,M15-L15)</f>
        <v>6.4516129032257674E-4</v>
      </c>
      <c r="O15" s="32">
        <v>27.4742721</v>
      </c>
      <c r="P15" s="32">
        <v>41.703162800000001</v>
      </c>
    </row>
    <row r="16" spans="1:16" ht="15.75" customHeight="1" x14ac:dyDescent="0.2">
      <c r="A16" s="32">
        <v>3</v>
      </c>
      <c r="B16" s="32" t="s">
        <v>16</v>
      </c>
      <c r="C16" s="32" t="s">
        <v>21</v>
      </c>
      <c r="D16" s="32">
        <v>1</v>
      </c>
      <c r="E16" s="33" t="s">
        <v>19</v>
      </c>
      <c r="F16" s="34">
        <v>45981</v>
      </c>
      <c r="G16" s="32">
        <v>65.5</v>
      </c>
      <c r="H16" s="34">
        <v>46001</v>
      </c>
      <c r="I16" s="34">
        <f t="shared" ca="1" si="0"/>
        <v>45998</v>
      </c>
      <c r="J16" s="32">
        <f ca="1">IF(F16="",0,MAX(0,I16-F16))</f>
        <v>17</v>
      </c>
      <c r="K16" s="32">
        <f ca="1">IF(G16="",0,MAX(0,G16-J16))</f>
        <v>48.5</v>
      </c>
      <c r="L16" s="35">
        <f ca="1">IF(OR(G16="",G16=0),0,MIN(1,MAX(0,J16/G16)))</f>
        <v>0.25954198473282442</v>
      </c>
      <c r="M16" s="42">
        <v>0.26</v>
      </c>
      <c r="N16" s="36">
        <f ca="1">IF(M16="",0,M16-L16)</f>
        <v>4.5801526717559327E-4</v>
      </c>
      <c r="O16" s="32">
        <v>27.4742721</v>
      </c>
      <c r="P16" s="32">
        <v>41.703162800000001</v>
      </c>
    </row>
    <row r="17" spans="1:16" ht="15.75" customHeight="1" x14ac:dyDescent="0.2">
      <c r="A17" s="21">
        <v>8</v>
      </c>
      <c r="B17" s="21" t="s">
        <v>16</v>
      </c>
      <c r="C17" s="21" t="s">
        <v>25</v>
      </c>
      <c r="D17" s="21">
        <v>1</v>
      </c>
      <c r="E17" s="22" t="s">
        <v>18</v>
      </c>
      <c r="F17" s="23">
        <v>45984</v>
      </c>
      <c r="G17" s="24">
        <v>115.5</v>
      </c>
      <c r="H17" s="23">
        <v>46004</v>
      </c>
      <c r="I17" s="23">
        <f t="shared" ca="1" si="0"/>
        <v>45998</v>
      </c>
      <c r="J17" s="21">
        <f t="shared" ca="1" si="4"/>
        <v>14</v>
      </c>
      <c r="K17" s="21">
        <f t="shared" ca="1" si="1"/>
        <v>101.5</v>
      </c>
      <c r="L17" s="25">
        <f t="shared" ca="1" si="2"/>
        <v>0.12121212121212122</v>
      </c>
      <c r="M17" s="25">
        <v>0.1212</v>
      </c>
      <c r="N17" s="26">
        <f t="shared" ca="1" si="3"/>
        <v>-1.2121212121213309E-5</v>
      </c>
      <c r="O17" s="24">
        <v>26.4060509</v>
      </c>
      <c r="P17" s="24">
        <v>50.183380100000001</v>
      </c>
    </row>
    <row r="18" spans="1:16" ht="15.75" customHeight="1" x14ac:dyDescent="0.2">
      <c r="A18" s="27">
        <v>6</v>
      </c>
      <c r="B18" s="27" t="s">
        <v>26</v>
      </c>
      <c r="C18" s="27" t="s">
        <v>28</v>
      </c>
      <c r="D18" s="27">
        <v>3</v>
      </c>
      <c r="E18" s="28" t="s">
        <v>18</v>
      </c>
      <c r="F18" s="29">
        <v>46003</v>
      </c>
      <c r="G18" s="27">
        <v>25</v>
      </c>
      <c r="H18" s="29">
        <v>45976</v>
      </c>
      <c r="I18" s="29">
        <f t="shared" ca="1" si="0"/>
        <v>45998</v>
      </c>
      <c r="J18" s="27">
        <f ca="1">IF(F18="",0,MAX(0,I18-F18))</f>
        <v>0</v>
      </c>
      <c r="K18" s="27">
        <f ca="1">IF(G18="",0,MAX(0,G18-J18))</f>
        <v>25</v>
      </c>
      <c r="L18" s="30">
        <f ca="1">IF(OR(G18="",G18=0),0,MIN(1,MAX(0,J18/G18)))</f>
        <v>0</v>
      </c>
      <c r="M18" s="30">
        <v>0</v>
      </c>
      <c r="N18" s="31">
        <f ca="1">IF(M18="",0,M18-L18)</f>
        <v>0</v>
      </c>
      <c r="O18" s="27">
        <v>21.574216100000001</v>
      </c>
      <c r="P18" s="27">
        <v>39.165553000000003</v>
      </c>
    </row>
    <row r="19" spans="1:16" ht="15.75" customHeight="1" x14ac:dyDescent="0.2">
      <c r="A19" s="9">
        <v>7</v>
      </c>
      <c r="B19" s="9" t="s">
        <v>26</v>
      </c>
      <c r="C19" s="9" t="s">
        <v>27</v>
      </c>
      <c r="D19" s="9">
        <v>3</v>
      </c>
      <c r="E19" s="10" t="s">
        <v>18</v>
      </c>
      <c r="F19" s="11">
        <v>46001</v>
      </c>
      <c r="G19" s="9">
        <v>25</v>
      </c>
      <c r="H19" s="11">
        <v>45976</v>
      </c>
      <c r="I19" s="11">
        <f t="shared" ca="1" si="0"/>
        <v>45998</v>
      </c>
      <c r="J19" s="9">
        <f ca="1">IF(F19="",0,MAX(0,I19-F19))</f>
        <v>0</v>
      </c>
      <c r="K19" s="9">
        <f ca="1">IF(G19="",0,MAX(0,G19-J19))</f>
        <v>25</v>
      </c>
      <c r="L19" s="12">
        <f ca="1">IF(OR(G19="",G19=0),0,MIN(1,MAX(0,J19/G19)))</f>
        <v>0</v>
      </c>
      <c r="M19" s="12">
        <v>0</v>
      </c>
      <c r="N19" s="13">
        <f ca="1">IF(M19="",0,M19-L19)</f>
        <v>0</v>
      </c>
      <c r="O19" s="9">
        <v>18.232298199999999</v>
      </c>
      <c r="P19" s="9">
        <v>42.474657299999997</v>
      </c>
    </row>
  </sheetData>
  <autoFilter ref="A1:P17" xr:uid="{00000000-0001-0000-0000-000000000000}">
    <sortState xmlns:xlrd2="http://schemas.microsoft.com/office/spreadsheetml/2017/richdata2" ref="A2:P20">
      <sortCondition ref="A1:A13"/>
    </sortState>
  </autoFilter>
  <conditionalFormatting sqref="F2:F19">
    <cfRule type="top10" dxfId="2" priority="70" rank="1"/>
    <cfRule type="top10" dxfId="1" priority="71" bottom="1" rank="1"/>
  </conditionalFormatting>
  <conditionalFormatting sqref="H2:H19">
    <cfRule type="top10" dxfId="0" priority="7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2025-12-07T07:47:07Z</dcterms:modified>
</cp:coreProperties>
</file>