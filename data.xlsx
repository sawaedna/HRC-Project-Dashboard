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0_Main_Projects\HRC_Project\00_HRC_Project_Main_Buckup02 حاليا\"/>
    </mc:Choice>
  </mc:AlternateContent>
  <xr:revisionPtr revIDLastSave="0" documentId="13_ncr:1_{BAE1C45F-AB9A-4C6B-81D5-0967C425617A}" xr6:coauthVersionLast="47" xr6:coauthVersionMax="47" xr10:uidLastSave="{00000000-0000-0000-0000-000000000000}"/>
  <bookViews>
    <workbookView xWindow="4752" yWindow="2964" windowWidth="23040" windowHeight="12120" xr2:uid="{00000000-000D-0000-FFFF-FFFF00000000}"/>
  </bookViews>
  <sheets>
    <sheet name="Sheet1" sheetId="1" r:id="rId1"/>
  </sheets>
  <definedNames>
    <definedName name="_xlnm._FilterDatabase" localSheetId="0" hidden="1">Sheet1!$A$1:$K$23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1" i="1"/>
  <c r="I22" i="1"/>
  <c r="I24" i="1"/>
  <c r="I19" i="1"/>
  <c r="I18" i="1"/>
  <c r="I15" i="1"/>
  <c r="I16" i="1"/>
  <c r="I23" i="1"/>
  <c r="I20" i="1" l="1"/>
  <c r="I17" i="1" l="1"/>
  <c r="I9" i="1" l="1"/>
  <c r="I12" i="1"/>
  <c r="I8" i="1"/>
  <c r="I11" i="1"/>
  <c r="I7" i="1"/>
  <c r="I13" i="1"/>
  <c r="I5" i="1"/>
  <c r="I14" i="1"/>
  <c r="I10" i="1"/>
  <c r="I4" i="1"/>
  <c r="I3" i="1"/>
  <c r="I2" i="1"/>
  <c r="I6" i="1"/>
</calcChain>
</file>

<file path=xl/sharedStrings.xml><?xml version="1.0" encoding="utf-8"?>
<sst xmlns="http://schemas.openxmlformats.org/spreadsheetml/2006/main" count="83" uniqueCount="24">
  <si>
    <t>SiteKey</t>
  </si>
  <si>
    <t>المرحلة</t>
  </si>
  <si>
    <t>الموقع</t>
  </si>
  <si>
    <t>TaskKey</t>
  </si>
  <si>
    <t>البند الرئيسي</t>
  </si>
  <si>
    <t>تاريخ البداية</t>
  </si>
  <si>
    <t>النسبة المخططة (%)</t>
  </si>
  <si>
    <t>النسبة الفعلية (%)</t>
  </si>
  <si>
    <t>الانحراف (%)</t>
  </si>
  <si>
    <t>Latitude</t>
  </si>
  <si>
    <t>Longitude</t>
  </si>
  <si>
    <t>الأولى</t>
  </si>
  <si>
    <t>الرياض</t>
  </si>
  <si>
    <t>الأعمال المعمارية</t>
  </si>
  <si>
    <t>الأعمال الكهربائية</t>
  </si>
  <si>
    <t>تبوك</t>
  </si>
  <si>
    <t>حائل</t>
  </si>
  <si>
    <t>الجوف</t>
  </si>
  <si>
    <t>نجران</t>
  </si>
  <si>
    <t>الأعمال الميكانيكية</t>
  </si>
  <si>
    <t>الدمام</t>
  </si>
  <si>
    <t>الثانية</t>
  </si>
  <si>
    <t>أبها</t>
  </si>
  <si>
    <t>جدة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</si>
</sst>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DF7"/>
        <bgColor rgb="FFD9EDF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K25"/>
  <sheetViews>
    <sheetView tabSelected="1" topLeftCell="A7" workbookViewId="0">
      <selection activeCell="G22" sqref="G22"/>
    </sheetView>
  </sheetViews>
  <sheetFormatPr defaultColWidth="12.5546875" defaultRowHeight="15.75" customHeight="1" x14ac:dyDescent="0.25"/>
  <cols>
    <col min="1" max="1" width="12.88671875" style="1" bestFit="1" customWidth="1"/>
    <col min="2" max="2" width="11.5546875" style="1" bestFit="1" customWidth="1"/>
    <col min="3" max="3" width="10.5546875" style="1" bestFit="1" customWidth="1"/>
    <col min="4" max="4" width="13.44140625" style="1" bestFit="1" customWidth="1"/>
    <col min="5" max="5" width="15.6640625" style="1" bestFit="1" customWidth="1"/>
    <col min="6" max="6" width="15.5546875" style="1" bestFit="1" customWidth="1"/>
    <col min="7" max="7" width="21.6640625" style="1" customWidth="1"/>
    <col min="8" max="8" width="11.5546875" style="1" bestFit="1" customWidth="1"/>
    <col min="9" max="9" width="16.44140625" style="1" bestFit="1" customWidth="1"/>
    <col min="10" max="10" width="13.6640625" style="1" bestFit="1" customWidth="1"/>
    <col min="11" max="11" width="15.44140625" style="1" bestFit="1" customWidth="1"/>
    <col min="12" max="16384" width="12.5546875" style="1"/>
  </cols>
  <sheetData>
    <row r="1" spans="1:11" s="8" customFormat="1" ht="56.4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s="19" customFormat="1" ht="15.75" customHeight="1" x14ac:dyDescent="0.25">
      <c r="A2" s="14">
        <v>1</v>
      </c>
      <c r="B2" s="14" t="s">
        <v>11</v>
      </c>
      <c r="C2" s="14" t="s">
        <v>12</v>
      </c>
      <c r="D2" s="14">
        <v>1</v>
      </c>
      <c r="E2" s="15" t="s">
        <v>13</v>
      </c>
      <c r="F2" s="16">
        <v>45961</v>
      </c>
      <c r="G2" s="17">
        <v>1</v>
      </c>
      <c r="H2" s="17">
        <v>1</v>
      </c>
      <c r="I2" s="18">
        <f t="shared" ref="I2:I23" si="0">IF(H2="",0,H2-G2)</f>
        <v>0</v>
      </c>
      <c r="J2" s="14">
        <v>24.759638299999999</v>
      </c>
      <c r="K2" s="14">
        <v>46.527646799999999</v>
      </c>
    </row>
    <row r="3" spans="1:11" s="19" customFormat="1" ht="15.75" customHeight="1" x14ac:dyDescent="0.25">
      <c r="A3" s="14">
        <v>1</v>
      </c>
      <c r="B3" s="14" t="s">
        <v>11</v>
      </c>
      <c r="C3" s="14" t="s">
        <v>12</v>
      </c>
      <c r="D3" s="14">
        <v>2</v>
      </c>
      <c r="E3" s="15" t="s">
        <v>14</v>
      </c>
      <c r="F3" s="16">
        <v>45882</v>
      </c>
      <c r="G3" s="17">
        <v>1</v>
      </c>
      <c r="H3" s="17">
        <v>1</v>
      </c>
      <c r="I3" s="18">
        <f t="shared" si="0"/>
        <v>0</v>
      </c>
      <c r="J3" s="14">
        <v>24.759638299999999</v>
      </c>
      <c r="K3" s="14">
        <v>46.527646799999999</v>
      </c>
    </row>
    <row r="4" spans="1:11" s="19" customFormat="1" ht="15.75" customHeight="1" x14ac:dyDescent="0.25">
      <c r="A4" s="14">
        <v>1</v>
      </c>
      <c r="B4" s="14" t="s">
        <v>11</v>
      </c>
      <c r="C4" s="14" t="s">
        <v>12</v>
      </c>
      <c r="D4" s="14">
        <v>3</v>
      </c>
      <c r="E4" s="15" t="s">
        <v>19</v>
      </c>
      <c r="F4" s="16">
        <v>45925</v>
      </c>
      <c r="G4" s="17">
        <v>1</v>
      </c>
      <c r="H4" s="17">
        <v>1</v>
      </c>
      <c r="I4" s="18">
        <f t="shared" si="0"/>
        <v>0</v>
      </c>
      <c r="J4" s="14">
        <v>24.759638299999999</v>
      </c>
      <c r="K4" s="14">
        <v>46.527646799999999</v>
      </c>
    </row>
    <row r="5" spans="1:11" s="19" customFormat="1" ht="15.75" customHeight="1" x14ac:dyDescent="0.25">
      <c r="A5" s="14">
        <v>2</v>
      </c>
      <c r="B5" s="14" t="s">
        <v>11</v>
      </c>
      <c r="C5" s="14" t="s">
        <v>15</v>
      </c>
      <c r="D5" s="14">
        <v>3</v>
      </c>
      <c r="E5" s="15" t="s">
        <v>19</v>
      </c>
      <c r="F5" s="16">
        <v>45959</v>
      </c>
      <c r="G5" s="17">
        <v>1</v>
      </c>
      <c r="H5" s="17">
        <v>1</v>
      </c>
      <c r="I5" s="18">
        <f t="shared" si="0"/>
        <v>0</v>
      </c>
      <c r="J5" s="14">
        <v>28.420234799999999</v>
      </c>
      <c r="K5" s="14">
        <v>36.531748100000002</v>
      </c>
    </row>
    <row r="6" spans="1:11" s="19" customFormat="1" ht="15.75" customHeight="1" x14ac:dyDescent="0.25">
      <c r="A6" s="14">
        <v>2</v>
      </c>
      <c r="B6" s="14" t="s">
        <v>11</v>
      </c>
      <c r="C6" s="14" t="s">
        <v>15</v>
      </c>
      <c r="D6" s="14">
        <v>1</v>
      </c>
      <c r="E6" s="15" t="s">
        <v>13</v>
      </c>
      <c r="F6" s="16">
        <v>45961</v>
      </c>
      <c r="G6" s="17">
        <v>1</v>
      </c>
      <c r="H6" s="17">
        <v>1</v>
      </c>
      <c r="I6" s="18">
        <f t="shared" si="0"/>
        <v>0</v>
      </c>
      <c r="J6" s="14">
        <v>28.420234799999999</v>
      </c>
      <c r="K6" s="14">
        <v>36.531748100000002</v>
      </c>
    </row>
    <row r="7" spans="1:11" s="19" customFormat="1" ht="15.75" customHeight="1" x14ac:dyDescent="0.25">
      <c r="A7" s="14">
        <v>2</v>
      </c>
      <c r="B7" s="14" t="s">
        <v>11</v>
      </c>
      <c r="C7" s="14" t="s">
        <v>15</v>
      </c>
      <c r="D7" s="14">
        <v>2</v>
      </c>
      <c r="E7" s="15" t="s">
        <v>14</v>
      </c>
      <c r="F7" s="16">
        <v>45949</v>
      </c>
      <c r="G7" s="17">
        <v>1</v>
      </c>
      <c r="H7" s="17">
        <v>1</v>
      </c>
      <c r="I7" s="18">
        <f t="shared" si="0"/>
        <v>0</v>
      </c>
      <c r="J7" s="14">
        <v>28.420234799999999</v>
      </c>
      <c r="K7" s="14">
        <v>36.531748100000002</v>
      </c>
    </row>
    <row r="8" spans="1:11" s="19" customFormat="1" ht="15.75" customHeight="1" x14ac:dyDescent="0.25">
      <c r="A8" s="14">
        <v>4</v>
      </c>
      <c r="B8" s="14" t="s">
        <v>11</v>
      </c>
      <c r="C8" s="14" t="s">
        <v>17</v>
      </c>
      <c r="D8" s="14">
        <v>3</v>
      </c>
      <c r="E8" s="15" t="s">
        <v>19</v>
      </c>
      <c r="F8" s="16">
        <v>45958</v>
      </c>
      <c r="G8" s="17">
        <v>1</v>
      </c>
      <c r="H8" s="17">
        <v>1</v>
      </c>
      <c r="I8" s="18">
        <f t="shared" si="0"/>
        <v>0</v>
      </c>
      <c r="J8" s="14">
        <v>30.008533100000001</v>
      </c>
      <c r="K8" s="14">
        <v>40.2162997</v>
      </c>
    </row>
    <row r="9" spans="1:11" s="19" customFormat="1" ht="15.75" customHeight="1" x14ac:dyDescent="0.25">
      <c r="A9" s="14">
        <v>4</v>
      </c>
      <c r="B9" s="14" t="s">
        <v>11</v>
      </c>
      <c r="C9" s="14" t="s">
        <v>17</v>
      </c>
      <c r="D9" s="14">
        <v>1</v>
      </c>
      <c r="E9" s="15" t="s">
        <v>13</v>
      </c>
      <c r="F9" s="16">
        <v>45971</v>
      </c>
      <c r="G9" s="17">
        <v>1</v>
      </c>
      <c r="H9" s="17">
        <v>1</v>
      </c>
      <c r="I9" s="18">
        <f t="shared" si="0"/>
        <v>0</v>
      </c>
      <c r="J9" s="14">
        <v>30.008533100000001</v>
      </c>
      <c r="K9" s="14">
        <v>40.2162997</v>
      </c>
    </row>
    <row r="10" spans="1:11" s="19" customFormat="1" ht="15.75" customHeight="1" x14ac:dyDescent="0.25">
      <c r="A10" s="14">
        <v>4</v>
      </c>
      <c r="B10" s="14" t="s">
        <v>11</v>
      </c>
      <c r="C10" s="14" t="s">
        <v>17</v>
      </c>
      <c r="D10" s="14">
        <v>2</v>
      </c>
      <c r="E10" s="15" t="s">
        <v>14</v>
      </c>
      <c r="F10" s="16">
        <v>45967</v>
      </c>
      <c r="G10" s="17">
        <v>1</v>
      </c>
      <c r="H10" s="17">
        <v>1</v>
      </c>
      <c r="I10" s="18">
        <f t="shared" si="0"/>
        <v>0</v>
      </c>
      <c r="J10" s="14">
        <v>30.008533100000001</v>
      </c>
      <c r="K10" s="14">
        <v>40.2162997</v>
      </c>
    </row>
    <row r="11" spans="1:11" s="19" customFormat="1" ht="15.75" customHeight="1" x14ac:dyDescent="0.25">
      <c r="A11" s="14">
        <v>5</v>
      </c>
      <c r="B11" s="14" t="s">
        <v>11</v>
      </c>
      <c r="C11" s="14" t="s">
        <v>18</v>
      </c>
      <c r="D11" s="14">
        <v>1</v>
      </c>
      <c r="E11" s="15" t="s">
        <v>13</v>
      </c>
      <c r="F11" s="16">
        <v>45975</v>
      </c>
      <c r="G11" s="17">
        <v>1</v>
      </c>
      <c r="H11" s="17">
        <v>1</v>
      </c>
      <c r="I11" s="18">
        <f t="shared" si="0"/>
        <v>0</v>
      </c>
      <c r="J11" s="14">
        <v>17.564813900000001</v>
      </c>
      <c r="K11" s="14">
        <v>44.316760500000001</v>
      </c>
    </row>
    <row r="12" spans="1:11" s="19" customFormat="1" ht="15.75" customHeight="1" x14ac:dyDescent="0.25">
      <c r="A12" s="14">
        <v>5</v>
      </c>
      <c r="B12" s="14" t="s">
        <v>11</v>
      </c>
      <c r="C12" s="14" t="s">
        <v>18</v>
      </c>
      <c r="D12" s="14">
        <v>3</v>
      </c>
      <c r="E12" s="15" t="s">
        <v>19</v>
      </c>
      <c r="F12" s="16">
        <v>45950</v>
      </c>
      <c r="G12" s="17">
        <v>1</v>
      </c>
      <c r="H12" s="17">
        <v>1</v>
      </c>
      <c r="I12" s="18">
        <f t="shared" si="0"/>
        <v>0</v>
      </c>
      <c r="J12" s="14">
        <v>17.564813900000001</v>
      </c>
      <c r="K12" s="14">
        <v>44.316760500000001</v>
      </c>
    </row>
    <row r="13" spans="1:11" s="19" customFormat="1" ht="15.75" customHeight="1" x14ac:dyDescent="0.25">
      <c r="A13" s="14">
        <v>5</v>
      </c>
      <c r="B13" s="14" t="s">
        <v>11</v>
      </c>
      <c r="C13" s="14" t="s">
        <v>18</v>
      </c>
      <c r="D13" s="14">
        <v>2</v>
      </c>
      <c r="E13" s="15" t="s">
        <v>14</v>
      </c>
      <c r="F13" s="16">
        <v>45945</v>
      </c>
      <c r="G13" s="17">
        <v>1</v>
      </c>
      <c r="H13" s="17">
        <v>1</v>
      </c>
      <c r="I13" s="18">
        <f t="shared" si="0"/>
        <v>0</v>
      </c>
      <c r="J13" s="14">
        <v>17.564813900000001</v>
      </c>
      <c r="K13" s="14">
        <v>44.316760500000001</v>
      </c>
    </row>
    <row r="14" spans="1:11" s="19" customFormat="1" ht="15.75" customHeight="1" x14ac:dyDescent="0.25">
      <c r="A14" s="14">
        <v>3</v>
      </c>
      <c r="B14" s="14" t="s">
        <v>11</v>
      </c>
      <c r="C14" s="14" t="s">
        <v>16</v>
      </c>
      <c r="D14" s="14">
        <v>1</v>
      </c>
      <c r="E14" s="15" t="s">
        <v>13</v>
      </c>
      <c r="F14" s="16">
        <v>45981</v>
      </c>
      <c r="G14" s="17">
        <v>1</v>
      </c>
      <c r="H14" s="17">
        <v>1</v>
      </c>
      <c r="I14" s="18">
        <f>IF(H14="",0,H14-G14)</f>
        <v>0</v>
      </c>
      <c r="J14" s="14">
        <v>27.4742721</v>
      </c>
      <c r="K14" s="14">
        <v>41.703162800000001</v>
      </c>
    </row>
    <row r="15" spans="1:11" s="19" customFormat="1" ht="15.75" customHeight="1" x14ac:dyDescent="0.25">
      <c r="A15" s="14">
        <v>3</v>
      </c>
      <c r="B15" s="14" t="s">
        <v>11</v>
      </c>
      <c r="C15" s="14" t="s">
        <v>16</v>
      </c>
      <c r="D15" s="14">
        <v>1</v>
      </c>
      <c r="E15" s="15" t="s">
        <v>14</v>
      </c>
      <c r="F15" s="16">
        <v>45981</v>
      </c>
      <c r="G15" s="17">
        <v>1</v>
      </c>
      <c r="H15" s="17">
        <v>1</v>
      </c>
      <c r="I15" s="18">
        <f t="shared" ref="I15:I16" si="1">IF(H15="",0,H15-G15)</f>
        <v>0</v>
      </c>
      <c r="J15" s="14">
        <v>27.4742721</v>
      </c>
      <c r="K15" s="14">
        <v>41.703162800000001</v>
      </c>
    </row>
    <row r="16" spans="1:11" s="19" customFormat="1" ht="15.75" customHeight="1" x14ac:dyDescent="0.25">
      <c r="A16" s="14">
        <v>3</v>
      </c>
      <c r="B16" s="14" t="s">
        <v>11</v>
      </c>
      <c r="C16" s="14" t="s">
        <v>16</v>
      </c>
      <c r="D16" s="14">
        <v>1</v>
      </c>
      <c r="E16" s="15" t="s">
        <v>19</v>
      </c>
      <c r="F16" s="16">
        <v>45981</v>
      </c>
      <c r="G16" s="17">
        <v>1</v>
      </c>
      <c r="H16" s="17">
        <v>1</v>
      </c>
      <c r="I16" s="18">
        <f t="shared" si="1"/>
        <v>0</v>
      </c>
      <c r="J16" s="14">
        <v>27.4742721</v>
      </c>
      <c r="K16" s="14">
        <v>41.703162800000001</v>
      </c>
    </row>
    <row r="17" spans="1:11" s="19" customFormat="1" ht="15.75" customHeight="1" x14ac:dyDescent="0.25">
      <c r="A17" s="14">
        <v>8</v>
      </c>
      <c r="B17" s="14" t="s">
        <v>11</v>
      </c>
      <c r="C17" s="14" t="s">
        <v>20</v>
      </c>
      <c r="D17" s="14">
        <v>1</v>
      </c>
      <c r="E17" s="15" t="s">
        <v>13</v>
      </c>
      <c r="F17" s="16">
        <v>45984</v>
      </c>
      <c r="G17" s="17">
        <v>1</v>
      </c>
      <c r="H17" s="17">
        <v>1</v>
      </c>
      <c r="I17" s="18">
        <f>IF(H17="",0,H17-G17)</f>
        <v>0</v>
      </c>
      <c r="J17" s="20">
        <v>26.4060509</v>
      </c>
      <c r="K17" s="20">
        <v>50.183380100000001</v>
      </c>
    </row>
    <row r="18" spans="1:11" s="19" customFormat="1" ht="15.75" customHeight="1" x14ac:dyDescent="0.25">
      <c r="A18" s="14">
        <v>8</v>
      </c>
      <c r="B18" s="14" t="s">
        <v>11</v>
      </c>
      <c r="C18" s="14" t="s">
        <v>20</v>
      </c>
      <c r="D18" s="14">
        <v>1</v>
      </c>
      <c r="E18" s="15" t="s">
        <v>14</v>
      </c>
      <c r="F18" s="16">
        <v>45984</v>
      </c>
      <c r="G18" s="17">
        <v>1</v>
      </c>
      <c r="H18" s="17">
        <v>1</v>
      </c>
      <c r="I18" s="18">
        <f>IF(H18="",0,H18-G18)</f>
        <v>0</v>
      </c>
      <c r="J18" s="20">
        <v>26.4060509</v>
      </c>
      <c r="K18" s="20">
        <v>50.183380100000001</v>
      </c>
    </row>
    <row r="19" spans="1:11" s="19" customFormat="1" ht="15.75" customHeight="1" x14ac:dyDescent="0.25">
      <c r="A19" s="14">
        <v>8</v>
      </c>
      <c r="B19" s="14" t="s">
        <v>11</v>
      </c>
      <c r="C19" s="14" t="s">
        <v>20</v>
      </c>
      <c r="D19" s="14">
        <v>1</v>
      </c>
      <c r="E19" s="15" t="s">
        <v>19</v>
      </c>
      <c r="F19" s="16">
        <v>45984</v>
      </c>
      <c r="G19" s="17">
        <v>1</v>
      </c>
      <c r="H19" s="17">
        <v>1</v>
      </c>
      <c r="I19" s="18">
        <f>IF(H19="",0,H19-G19)</f>
        <v>0</v>
      </c>
      <c r="J19" s="20">
        <v>26.4060509</v>
      </c>
      <c r="K19" s="20">
        <v>50.183380100000001</v>
      </c>
    </row>
    <row r="20" spans="1:11" ht="15.75" customHeight="1" x14ac:dyDescent="0.25">
      <c r="A20" s="9">
        <v>6</v>
      </c>
      <c r="B20" s="9" t="s">
        <v>21</v>
      </c>
      <c r="C20" s="9" t="s">
        <v>23</v>
      </c>
      <c r="D20" s="9">
        <v>3</v>
      </c>
      <c r="E20" s="10" t="s">
        <v>13</v>
      </c>
      <c r="F20" s="11">
        <v>46003</v>
      </c>
      <c r="G20" s="12">
        <v>0.44</v>
      </c>
      <c r="H20" s="12">
        <v>0.56000000000000005</v>
      </c>
      <c r="I20" s="13">
        <f t="shared" si="0"/>
        <v>0.12000000000000005</v>
      </c>
      <c r="J20" s="9">
        <v>21.574216100000001</v>
      </c>
      <c r="K20" s="9">
        <v>39.165553000000003</v>
      </c>
    </row>
    <row r="21" spans="1:11" ht="15.75" customHeight="1" x14ac:dyDescent="0.25">
      <c r="A21" s="9">
        <v>6</v>
      </c>
      <c r="B21" s="9" t="s">
        <v>21</v>
      </c>
      <c r="C21" s="9" t="s">
        <v>23</v>
      </c>
      <c r="D21" s="9">
        <v>3</v>
      </c>
      <c r="E21" s="10" t="s">
        <v>14</v>
      </c>
      <c r="F21" s="11">
        <v>46003</v>
      </c>
      <c r="G21" s="12">
        <v>0.44</v>
      </c>
      <c r="H21" s="12">
        <v>0.56000000000000005</v>
      </c>
      <c r="I21" s="13">
        <f t="shared" ref="I21" si="2">IF(H21="",0,H21-G21)</f>
        <v>0.12000000000000005</v>
      </c>
      <c r="J21" s="9">
        <v>21.574216100000001</v>
      </c>
      <c r="K21" s="9">
        <v>39.165553000000003</v>
      </c>
    </row>
    <row r="22" spans="1:11" ht="15.75" customHeight="1" x14ac:dyDescent="0.25">
      <c r="A22" s="9">
        <v>6</v>
      </c>
      <c r="B22" s="9" t="s">
        <v>21</v>
      </c>
      <c r="C22" s="9" t="s">
        <v>23</v>
      </c>
      <c r="D22" s="9">
        <v>3</v>
      </c>
      <c r="E22" s="10" t="s">
        <v>19</v>
      </c>
      <c r="F22" s="11">
        <v>46003</v>
      </c>
      <c r="G22" s="12">
        <v>0.44</v>
      </c>
      <c r="H22" s="12">
        <v>0.56000000000000005</v>
      </c>
      <c r="I22" s="13">
        <f t="shared" ref="I22" si="3">IF(H22="",0,H22-G22)</f>
        <v>0.12000000000000005</v>
      </c>
      <c r="J22" s="9">
        <v>21.574216100000001</v>
      </c>
      <c r="K22" s="9">
        <v>39.165553000000003</v>
      </c>
    </row>
    <row r="23" spans="1:11" ht="15.75" customHeight="1" x14ac:dyDescent="0.25">
      <c r="A23" s="2">
        <v>7</v>
      </c>
      <c r="B23" s="2" t="s">
        <v>21</v>
      </c>
      <c r="C23" s="2" t="s">
        <v>22</v>
      </c>
      <c r="D23" s="2">
        <v>3</v>
      </c>
      <c r="E23" s="3" t="s">
        <v>13</v>
      </c>
      <c r="F23" s="4">
        <v>46001</v>
      </c>
      <c r="G23" s="5">
        <v>0.95</v>
      </c>
      <c r="H23" s="5">
        <v>0.99</v>
      </c>
      <c r="I23" s="6">
        <f t="shared" si="0"/>
        <v>4.0000000000000036E-2</v>
      </c>
      <c r="J23" s="2">
        <v>18.232298199999999</v>
      </c>
      <c r="K23" s="2">
        <v>42.474657299999997</v>
      </c>
    </row>
    <row r="24" spans="1:11" ht="15.75" customHeight="1" x14ac:dyDescent="0.25">
      <c r="A24" s="2">
        <v>7</v>
      </c>
      <c r="B24" s="2" t="s">
        <v>21</v>
      </c>
      <c r="C24" s="2" t="s">
        <v>22</v>
      </c>
      <c r="D24" s="2">
        <v>3</v>
      </c>
      <c r="E24" s="3" t="s">
        <v>14</v>
      </c>
      <c r="F24" s="4">
        <v>46001</v>
      </c>
      <c r="G24" s="5">
        <v>0.95</v>
      </c>
      <c r="H24" s="5">
        <v>0.99</v>
      </c>
      <c r="I24" s="6">
        <f t="shared" ref="I24" si="4">IF(H24="",0,H24-G24)</f>
        <v>4.0000000000000036E-2</v>
      </c>
      <c r="J24" s="2">
        <v>18.232298199999999</v>
      </c>
      <c r="K24" s="2">
        <v>42.474657299999997</v>
      </c>
    </row>
    <row r="25" spans="1:11" ht="15.75" customHeight="1" x14ac:dyDescent="0.25">
      <c r="A25" s="2">
        <v>7</v>
      </c>
      <c r="B25" s="2" t="s">
        <v>21</v>
      </c>
      <c r="C25" s="2" t="s">
        <v>22</v>
      </c>
      <c r="D25" s="2">
        <v>3</v>
      </c>
      <c r="E25" s="3" t="s">
        <v>19</v>
      </c>
      <c r="F25" s="4">
        <v>46001</v>
      </c>
      <c r="G25" s="5">
        <v>0.95</v>
      </c>
      <c r="H25" s="5">
        <v>0.99</v>
      </c>
      <c r="I25" s="6">
        <f t="shared" ref="I25" si="5">IF(H25="",0,H25-G25)</f>
        <v>4.0000000000000036E-2</v>
      </c>
      <c r="J25" s="2">
        <v>18.232298199999999</v>
      </c>
      <c r="K25" s="2">
        <v>42.474657299999997</v>
      </c>
    </row>
  </sheetData>
  <autoFilter ref="A1:K23" xr:uid="{00000000-0001-0000-0000-000000000000}">
    <sortState xmlns:xlrd2="http://schemas.microsoft.com/office/spreadsheetml/2017/richdata2" ref="A2:K26">
      <sortCondition ref="A1:A13"/>
    </sortState>
  </autoFilter>
  <conditionalFormatting sqref="F2:F25">
    <cfRule type="top10" dxfId="1" priority="75" rank="1"/>
    <cfRule type="top10" dxfId="0" priority="76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El-Sawy</cp:lastModifiedBy>
  <dcterms:modified xsi:type="dcterms:W3CDTF">2026-06-04T09:38:08Z</dcterms:modified>
</cp:coreProperties>
</file>