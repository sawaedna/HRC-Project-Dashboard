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02DAD1D2-2751-4BBF-B672-730FA46D4C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J19" i="1" s="1"/>
  <c r="I18" i="1"/>
  <c r="J18" i="1" s="1"/>
  <c r="I17" i="1"/>
  <c r="J17" i="1" s="1"/>
  <c r="I22" i="1"/>
  <c r="J22" i="1" s="1"/>
  <c r="I21" i="1"/>
  <c r="J21" i="1" s="1"/>
  <c r="I20" i="1"/>
  <c r="J20" i="1" s="1"/>
  <c r="L17" i="1" l="1"/>
  <c r="N17" i="1" s="1"/>
  <c r="K17" i="1"/>
  <c r="L18" i="1"/>
  <c r="N18" i="1" s="1"/>
  <c r="K18" i="1"/>
  <c r="L19" i="1"/>
  <c r="N19" i="1" s="1"/>
  <c r="K19" i="1"/>
  <c r="L20" i="1"/>
  <c r="N20" i="1" s="1"/>
  <c r="K20" i="1"/>
  <c r="L21" i="1"/>
  <c r="N21" i="1" s="1"/>
  <c r="K21" i="1"/>
  <c r="K22" i="1"/>
  <c r="L22" i="1"/>
  <c r="N22" i="1" s="1"/>
  <c r="I24" i="1"/>
  <c r="J24" i="1" s="1"/>
  <c r="K24" i="1" s="1"/>
  <c r="I23" i="1"/>
  <c r="J23" i="1" s="1"/>
  <c r="K23" i="1" s="1"/>
  <c r="I25" i="1"/>
  <c r="J25" i="1" s="1"/>
  <c r="K25" i="1" s="1"/>
  <c r="L24" i="1" l="1"/>
  <c r="N24" i="1" s="1"/>
  <c r="L23" i="1"/>
  <c r="N23" i="1" s="1"/>
  <c r="L25" i="1"/>
  <c r="N25" i="1" s="1"/>
  <c r="G2" i="1" l="1"/>
  <c r="G3" i="1" l="1"/>
  <c r="G4" i="1"/>
  <c r="G6" i="1"/>
  <c r="G7" i="1"/>
  <c r="G5" i="1"/>
  <c r="G14" i="1"/>
  <c r="G16" i="1"/>
  <c r="G15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16" i="1"/>
  <c r="J16" i="1" s="1"/>
  <c r="I15" i="1"/>
  <c r="J15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L16" i="1"/>
  <c r="N16" i="1" s="1"/>
  <c r="K4" i="1"/>
  <c r="L8" i="1"/>
  <c r="N8" i="1" s="1"/>
  <c r="K15" i="1"/>
  <c r="L11" i="1"/>
  <c r="N11" i="1" s="1"/>
  <c r="K8" i="1"/>
  <c r="L7" i="1"/>
  <c r="N7" i="1" s="1"/>
  <c r="K2" i="1"/>
  <c r="K6" i="1"/>
  <c r="K7" i="1"/>
  <c r="L13" i="1"/>
  <c r="N13" i="1" s="1"/>
  <c r="K12" i="1"/>
  <c r="L15" i="1"/>
  <c r="N15" i="1" s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K16" i="1"/>
  <c r="L6" i="1"/>
  <c r="N6" i="1" s="1"/>
</calcChain>
</file>

<file path=xl/sharedStrings.xml><?xml version="1.0" encoding="utf-8"?>
<sst xmlns="http://schemas.openxmlformats.org/spreadsheetml/2006/main" count="88" uniqueCount="29">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</sst>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5"/>
  <sheetViews>
    <sheetView tabSelected="1" workbookViewId="0">
      <selection activeCell="K6" sqref="K6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45949</v>
      </c>
      <c r="G2" s="4">
        <f t="shared" ref="G2:G13" si="0">H2-F2</f>
        <v>30</v>
      </c>
      <c r="H2" s="6">
        <v>45979</v>
      </c>
      <c r="I2" s="6">
        <f t="shared" ref="I2:I25" ca="1" si="1">TODAY()</f>
        <v>45969</v>
      </c>
      <c r="J2" s="4">
        <f t="shared" ref="J2:J25" ca="1" si="2">IF(F2="",0,MAX(0,I2-F2))</f>
        <v>20</v>
      </c>
      <c r="K2" s="4">
        <f t="shared" ref="K2:K25" ca="1" si="3">IF(G2="",0,MAX(0,G2-J2))</f>
        <v>10</v>
      </c>
      <c r="L2" s="10">
        <f t="shared" ref="L2:L25" ca="1" si="4">IF(OR(G2="",G2=0),0,MIN(1,MAX(0,J2/G2)))</f>
        <v>0.66666666666666663</v>
      </c>
      <c r="M2" s="10">
        <v>0.7</v>
      </c>
      <c r="N2" s="7">
        <f t="shared" ref="N2:N25" ca="1" si="5">IF(M2="",0,M2-L2)</f>
        <v>3.3333333333333326E-2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90</v>
      </c>
      <c r="H3" s="6">
        <v>45971</v>
      </c>
      <c r="I3" s="6">
        <f t="shared" ca="1" si="1"/>
        <v>45969</v>
      </c>
      <c r="J3" s="4">
        <f t="shared" ca="1" si="2"/>
        <v>88</v>
      </c>
      <c r="K3" s="4">
        <f t="shared" ca="1" si="3"/>
        <v>2</v>
      </c>
      <c r="L3" s="10">
        <f t="shared" ca="1" si="4"/>
        <v>0.97777777777777775</v>
      </c>
      <c r="M3" s="10">
        <v>0.95</v>
      </c>
      <c r="N3" s="7">
        <f t="shared" ca="1" si="5"/>
        <v>-2.777777777777779E-2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45969</v>
      </c>
      <c r="J4" s="4">
        <f t="shared" ca="1" si="2"/>
        <v>44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23</v>
      </c>
      <c r="H5" s="13">
        <v>45982</v>
      </c>
      <c r="I5" s="13">
        <f t="shared" ca="1" si="1"/>
        <v>45969</v>
      </c>
      <c r="J5" s="11">
        <f t="shared" ca="1" si="2"/>
        <v>10</v>
      </c>
      <c r="K5" s="11">
        <f t="shared" ca="1" si="3"/>
        <v>13</v>
      </c>
      <c r="L5" s="14">
        <f t="shared" ca="1" si="4"/>
        <v>0.43478260869565216</v>
      </c>
      <c r="M5" s="14">
        <v>0.36</v>
      </c>
      <c r="N5" s="15">
        <f t="shared" ca="1" si="5"/>
        <v>-7.4782608695652175E-2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45956</v>
      </c>
      <c r="G6" s="11">
        <f t="shared" si="0"/>
        <v>45</v>
      </c>
      <c r="H6" s="13">
        <v>46001</v>
      </c>
      <c r="I6" s="13">
        <f t="shared" ca="1" si="1"/>
        <v>45969</v>
      </c>
      <c r="J6" s="11">
        <f t="shared" ca="1" si="2"/>
        <v>13</v>
      </c>
      <c r="K6" s="11">
        <f t="shared" ca="1" si="3"/>
        <v>32</v>
      </c>
      <c r="L6" s="14">
        <f t="shared" ca="1" si="4"/>
        <v>0.28888888888888886</v>
      </c>
      <c r="M6" s="14">
        <v>8.8499999999999995E-2</v>
      </c>
      <c r="N6" s="15">
        <f t="shared" ca="1" si="5"/>
        <v>-0.20038888888888887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45955</v>
      </c>
      <c r="G7" s="11">
        <f t="shared" si="0"/>
        <v>46</v>
      </c>
      <c r="H7" s="13">
        <v>46001</v>
      </c>
      <c r="I7" s="13">
        <f t="shared" ca="1" si="1"/>
        <v>45969</v>
      </c>
      <c r="J7" s="11">
        <f t="shared" ca="1" si="2"/>
        <v>14</v>
      </c>
      <c r="K7" s="11">
        <f t="shared" ca="1" si="3"/>
        <v>32</v>
      </c>
      <c r="L7" s="14">
        <f t="shared" ca="1" si="4"/>
        <v>0.30434782608695654</v>
      </c>
      <c r="M7" s="14">
        <v>0.32</v>
      </c>
      <c r="N7" s="15">
        <f t="shared" ca="1" si="5"/>
        <v>1.5652173913043466E-2</v>
      </c>
      <c r="O7" s="11">
        <v>28.420234799999999</v>
      </c>
      <c r="P7" s="11">
        <v>36.531748100000002</v>
      </c>
    </row>
    <row r="8" spans="1:16" ht="15.75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45949</v>
      </c>
      <c r="G8" s="21">
        <f t="shared" si="0"/>
        <v>31</v>
      </c>
      <c r="H8" s="23">
        <v>45980</v>
      </c>
      <c r="I8" s="23">
        <f t="shared" ca="1" si="1"/>
        <v>45969</v>
      </c>
      <c r="J8" s="21">
        <f t="shared" ca="1" si="2"/>
        <v>20</v>
      </c>
      <c r="K8" s="21">
        <f t="shared" ca="1" si="3"/>
        <v>11</v>
      </c>
      <c r="L8" s="24">
        <f t="shared" ca="1" si="4"/>
        <v>0.64516129032258063</v>
      </c>
      <c r="M8" s="24">
        <v>0.41649999999999998</v>
      </c>
      <c r="N8" s="25">
        <f t="shared" ca="1" si="5"/>
        <v>-0.22866129032258065</v>
      </c>
      <c r="O8" s="21">
        <v>30.008533100000001</v>
      </c>
      <c r="P8" s="21">
        <v>40.2162997</v>
      </c>
    </row>
    <row r="9" spans="1:16" ht="15.75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45966</v>
      </c>
      <c r="G9" s="21">
        <f t="shared" si="0"/>
        <v>35</v>
      </c>
      <c r="H9" s="23">
        <v>46001</v>
      </c>
      <c r="I9" s="23">
        <f t="shared" ca="1" si="1"/>
        <v>45969</v>
      </c>
      <c r="J9" s="21">
        <f t="shared" ca="1" si="2"/>
        <v>3</v>
      </c>
      <c r="K9" s="21">
        <f t="shared" ca="1" si="3"/>
        <v>32</v>
      </c>
      <c r="L9" s="24">
        <f t="shared" ca="1" si="4"/>
        <v>8.5714285714285715E-2</v>
      </c>
      <c r="M9" s="24">
        <v>0.08</v>
      </c>
      <c r="N9" s="25">
        <f t="shared" ca="1" si="5"/>
        <v>-5.7142857142857134E-3</v>
      </c>
      <c r="O9" s="21">
        <v>30.008533100000001</v>
      </c>
      <c r="P9" s="21">
        <v>40.2162997</v>
      </c>
    </row>
    <row r="10" spans="1:16" ht="15.75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45958</v>
      </c>
      <c r="G10" s="21">
        <f t="shared" si="0"/>
        <v>43</v>
      </c>
      <c r="H10" s="23">
        <v>46001</v>
      </c>
      <c r="I10" s="23">
        <f t="shared" ca="1" si="1"/>
        <v>45969</v>
      </c>
      <c r="J10" s="21">
        <f t="shared" ca="1" si="2"/>
        <v>11</v>
      </c>
      <c r="K10" s="21">
        <f t="shared" ca="1" si="3"/>
        <v>32</v>
      </c>
      <c r="L10" s="24">
        <f t="shared" ca="1" si="4"/>
        <v>0.2558139534883721</v>
      </c>
      <c r="M10" s="24">
        <v>0.48</v>
      </c>
      <c r="N10" s="25">
        <f t="shared" ca="1" si="5"/>
        <v>0.22418604651162788</v>
      </c>
      <c r="O10" s="21">
        <v>30.008533100000001</v>
      </c>
      <c r="P10" s="21">
        <v>40.2162997</v>
      </c>
    </row>
    <row r="11" spans="1:16" ht="15.75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45962</v>
      </c>
      <c r="G11" s="26">
        <f t="shared" si="0"/>
        <v>32</v>
      </c>
      <c r="H11" s="28">
        <v>45994</v>
      </c>
      <c r="I11" s="28">
        <f t="shared" ca="1" si="1"/>
        <v>45969</v>
      </c>
      <c r="J11" s="26">
        <f t="shared" ca="1" si="2"/>
        <v>7</v>
      </c>
      <c r="K11" s="26">
        <f t="shared" ca="1" si="3"/>
        <v>25</v>
      </c>
      <c r="L11" s="29">
        <f t="shared" ca="1" si="4"/>
        <v>0.21875</v>
      </c>
      <c r="M11" s="29">
        <v>0.18</v>
      </c>
      <c r="N11" s="30">
        <f t="shared" ca="1" si="5"/>
        <v>-3.8750000000000007E-2</v>
      </c>
      <c r="O11" s="26">
        <v>17.564813900000001</v>
      </c>
      <c r="P11" s="26">
        <v>44.316760500000001</v>
      </c>
    </row>
    <row r="12" spans="1:16" ht="15.75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44</v>
      </c>
      <c r="H12" s="28">
        <v>45994</v>
      </c>
      <c r="I12" s="28">
        <f t="shared" ca="1" si="1"/>
        <v>45969</v>
      </c>
      <c r="J12" s="26">
        <f t="shared" ca="1" si="2"/>
        <v>19</v>
      </c>
      <c r="K12" s="26">
        <f t="shared" ca="1" si="3"/>
        <v>25</v>
      </c>
      <c r="L12" s="29">
        <f t="shared" ca="1" si="4"/>
        <v>0.43181818181818182</v>
      </c>
      <c r="M12" s="29">
        <v>0.63300000000000001</v>
      </c>
      <c r="N12" s="30">
        <f t="shared" ca="1" si="5"/>
        <v>0.20118181818181818</v>
      </c>
      <c r="O12" s="26">
        <v>17.564813900000001</v>
      </c>
      <c r="P12" s="26">
        <v>44.316760500000001</v>
      </c>
    </row>
    <row r="13" spans="1:16" ht="15.75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49</v>
      </c>
      <c r="H13" s="28">
        <v>45994</v>
      </c>
      <c r="I13" s="28">
        <f t="shared" ca="1" si="1"/>
        <v>45969</v>
      </c>
      <c r="J13" s="26">
        <f t="shared" ca="1" si="2"/>
        <v>24</v>
      </c>
      <c r="K13" s="26">
        <f t="shared" ca="1" si="3"/>
        <v>25</v>
      </c>
      <c r="L13" s="29">
        <f t="shared" ca="1" si="4"/>
        <v>0.48979591836734693</v>
      </c>
      <c r="M13" s="29">
        <v>0.62</v>
      </c>
      <c r="N13" s="30">
        <f t="shared" ca="1" si="5"/>
        <v>0.13020408163265307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45981</v>
      </c>
      <c r="G14" s="16">
        <f>H14-F14</f>
        <v>20</v>
      </c>
      <c r="H14" s="18">
        <v>46001</v>
      </c>
      <c r="I14" s="18">
        <f t="shared" ca="1" si="1"/>
        <v>45969</v>
      </c>
      <c r="J14" s="16">
        <f ca="1">IF(F14="",0,MAX(0,I14-F14))</f>
        <v>0</v>
      </c>
      <c r="K14" s="16">
        <f ca="1">IF(G14="",0,MAX(0,G14-J14))</f>
        <v>20</v>
      </c>
      <c r="L14" s="19">
        <f ca="1">IF(OR(G14="",G14=0),0,MIN(1,MAX(0,J14/G14)))</f>
        <v>0</v>
      </c>
      <c r="M14" s="19">
        <v>0</v>
      </c>
      <c r="N14" s="20">
        <f ca="1">IF(M14="",0,M14-L14)</f>
        <v>0</v>
      </c>
      <c r="O14" s="16">
        <v>27.4742721</v>
      </c>
      <c r="P14" s="16">
        <v>41.703162800000001</v>
      </c>
    </row>
    <row r="15" spans="1:16" ht="15.75" customHeight="1" x14ac:dyDescent="0.2">
      <c r="A15" s="2">
        <v>3</v>
      </c>
      <c r="B15" s="2" t="s">
        <v>16</v>
      </c>
      <c r="C15" s="16" t="s">
        <v>21</v>
      </c>
      <c r="D15" s="16">
        <v>3</v>
      </c>
      <c r="E15" s="17" t="s">
        <v>24</v>
      </c>
      <c r="F15" s="18">
        <v>45981</v>
      </c>
      <c r="G15" s="16">
        <f>H15-F15</f>
        <v>17</v>
      </c>
      <c r="H15" s="18">
        <v>45998</v>
      </c>
      <c r="I15" s="18">
        <f t="shared" ca="1" si="1"/>
        <v>45969</v>
      </c>
      <c r="J15" s="16">
        <f ca="1">IF(F15="",0,MAX(0,I15-F15))</f>
        <v>0</v>
      </c>
      <c r="K15" s="16">
        <f ca="1">IF(G15="",0,MAX(0,G15-J15))</f>
        <v>17</v>
      </c>
      <c r="L15" s="19">
        <f ca="1">IF(OR(G15="",G15=0),0,MIN(1,MAX(0,J15/G15)))</f>
        <v>0</v>
      </c>
      <c r="M15" s="19">
        <v>0</v>
      </c>
      <c r="N15" s="20">
        <f ca="1">IF(M15="",0,M15-L15)</f>
        <v>0</v>
      </c>
      <c r="O15" s="16">
        <v>27.4742721</v>
      </c>
      <c r="P15" s="16">
        <v>41.703162800000001</v>
      </c>
    </row>
    <row r="16" spans="1:16" ht="15.75" customHeight="1" x14ac:dyDescent="0.2">
      <c r="A16" s="2">
        <v>3</v>
      </c>
      <c r="B16" s="2" t="s">
        <v>16</v>
      </c>
      <c r="C16" s="16" t="s">
        <v>21</v>
      </c>
      <c r="D16" s="16">
        <v>2</v>
      </c>
      <c r="E16" s="17" t="s">
        <v>19</v>
      </c>
      <c r="F16" s="18">
        <v>45981</v>
      </c>
      <c r="G16" s="16">
        <f>H16-F16</f>
        <v>20</v>
      </c>
      <c r="H16" s="18">
        <v>46001</v>
      </c>
      <c r="I16" s="18">
        <f t="shared" ca="1" si="1"/>
        <v>45969</v>
      </c>
      <c r="J16" s="16">
        <f ca="1">IF(F16="",0,MAX(0,I16-F16))</f>
        <v>0</v>
      </c>
      <c r="K16" s="16">
        <f ca="1">IF(G16="",0,MAX(0,G16-J16))</f>
        <v>20</v>
      </c>
      <c r="L16" s="19">
        <f ca="1">IF(OR(G16="",G16=0),0,MIN(1,MAX(0,J16/G16)))</f>
        <v>0</v>
      </c>
      <c r="M16" s="19">
        <v>0</v>
      </c>
      <c r="N16" s="20">
        <f ca="1">IF(M16="",0,M16-L16)</f>
        <v>0</v>
      </c>
      <c r="O16" s="16">
        <v>27.4742721</v>
      </c>
      <c r="P16" s="16">
        <v>41.703162800000001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2</v>
      </c>
      <c r="E17" s="17" t="s">
        <v>19</v>
      </c>
      <c r="F17" s="18">
        <v>45981</v>
      </c>
      <c r="G17" s="16">
        <v>35</v>
      </c>
      <c r="H17" s="18">
        <v>45951</v>
      </c>
      <c r="I17" s="18">
        <f t="shared" ca="1" si="1"/>
        <v>45969</v>
      </c>
      <c r="J17" s="16">
        <f t="shared" ca="1" si="2"/>
        <v>0</v>
      </c>
      <c r="K17" s="16">
        <f t="shared" ca="1" si="3"/>
        <v>35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2">
        <v>6</v>
      </c>
      <c r="B18" s="2" t="s">
        <v>26</v>
      </c>
      <c r="C18" s="16" t="s">
        <v>28</v>
      </c>
      <c r="D18" s="16">
        <v>3</v>
      </c>
      <c r="E18" s="17" t="s">
        <v>18</v>
      </c>
      <c r="F18" s="18">
        <v>45981</v>
      </c>
      <c r="G18" s="16">
        <v>25</v>
      </c>
      <c r="H18" s="18">
        <v>45976</v>
      </c>
      <c r="I18" s="18">
        <f t="shared" ca="1" si="1"/>
        <v>45969</v>
      </c>
      <c r="J18" s="16">
        <f t="shared" ca="1" si="2"/>
        <v>0</v>
      </c>
      <c r="K18" s="16">
        <f t="shared" ca="1" si="3"/>
        <v>25</v>
      </c>
      <c r="L18" s="19">
        <f t="shared" ca="1" si="4"/>
        <v>0</v>
      </c>
      <c r="M18" s="19">
        <v>0</v>
      </c>
      <c r="N18" s="20">
        <f t="shared" ca="1" si="5"/>
        <v>0</v>
      </c>
      <c r="O18" s="16">
        <v>21.574216100000001</v>
      </c>
      <c r="P18" s="16">
        <v>39.165553000000003</v>
      </c>
    </row>
    <row r="19" spans="1:16" ht="15.75" customHeight="1" x14ac:dyDescent="0.2">
      <c r="A19" s="2">
        <v>6</v>
      </c>
      <c r="B19" s="2" t="s">
        <v>26</v>
      </c>
      <c r="C19" s="16" t="s">
        <v>28</v>
      </c>
      <c r="D19" s="16">
        <v>4</v>
      </c>
      <c r="E19" s="17" t="s">
        <v>24</v>
      </c>
      <c r="F19" s="18">
        <v>45981</v>
      </c>
      <c r="G19" s="16">
        <v>20</v>
      </c>
      <c r="H19" s="18">
        <v>45996</v>
      </c>
      <c r="I19" s="18">
        <f t="shared" ca="1" si="1"/>
        <v>45969</v>
      </c>
      <c r="J19" s="16">
        <f t="shared" ca="1" si="2"/>
        <v>0</v>
      </c>
      <c r="K19" s="16">
        <f t="shared" ca="1" si="3"/>
        <v>20</v>
      </c>
      <c r="L19" s="19">
        <f t="shared" ca="1" si="4"/>
        <v>0</v>
      </c>
      <c r="M19" s="19">
        <v>0</v>
      </c>
      <c r="N19" s="20">
        <f t="shared" ca="1" si="5"/>
        <v>0</v>
      </c>
      <c r="O19" s="16">
        <v>21.574216100000001</v>
      </c>
      <c r="P19" s="16">
        <v>39.165553000000003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2</v>
      </c>
      <c r="E20" s="12" t="s">
        <v>19</v>
      </c>
      <c r="F20" s="13">
        <v>45981</v>
      </c>
      <c r="G20" s="11">
        <v>35</v>
      </c>
      <c r="H20" s="13">
        <v>45951</v>
      </c>
      <c r="I20" s="13">
        <f t="shared" ca="1" si="1"/>
        <v>45969</v>
      </c>
      <c r="J20" s="11">
        <f t="shared" ca="1" si="2"/>
        <v>0</v>
      </c>
      <c r="K20" s="11">
        <f t="shared" ca="1" si="3"/>
        <v>35</v>
      </c>
      <c r="L20" s="14">
        <f t="shared" ca="1" si="4"/>
        <v>0</v>
      </c>
      <c r="M20" s="14">
        <v>0</v>
      </c>
      <c r="N20" s="15">
        <f t="shared" ca="1" si="5"/>
        <v>0</v>
      </c>
      <c r="O20" s="11">
        <v>18.232298199999999</v>
      </c>
      <c r="P20" s="11">
        <v>42.474657299999997</v>
      </c>
    </row>
    <row r="21" spans="1:16" ht="15.75" customHeight="1" x14ac:dyDescent="0.2">
      <c r="A21" s="3">
        <v>7</v>
      </c>
      <c r="B21" s="3" t="s">
        <v>26</v>
      </c>
      <c r="C21" s="11" t="s">
        <v>27</v>
      </c>
      <c r="D21" s="11">
        <v>3</v>
      </c>
      <c r="E21" s="12" t="s">
        <v>18</v>
      </c>
      <c r="F21" s="13">
        <v>45981</v>
      </c>
      <c r="G21" s="11">
        <v>25</v>
      </c>
      <c r="H21" s="13">
        <v>45976</v>
      </c>
      <c r="I21" s="13">
        <f t="shared" ca="1" si="1"/>
        <v>45969</v>
      </c>
      <c r="J21" s="11">
        <f t="shared" ca="1" si="2"/>
        <v>0</v>
      </c>
      <c r="K21" s="11">
        <f t="shared" ca="1" si="3"/>
        <v>25</v>
      </c>
      <c r="L21" s="14">
        <f t="shared" ca="1" si="4"/>
        <v>0</v>
      </c>
      <c r="M21" s="14">
        <v>0</v>
      </c>
      <c r="N21" s="15">
        <f t="shared" ca="1" si="5"/>
        <v>0</v>
      </c>
      <c r="O21" s="11">
        <v>18.232298199999999</v>
      </c>
      <c r="P21" s="11">
        <v>42.474657299999997</v>
      </c>
    </row>
    <row r="22" spans="1:16" ht="15.75" customHeight="1" x14ac:dyDescent="0.2">
      <c r="A22" s="3">
        <v>7</v>
      </c>
      <c r="B22" s="3" t="s">
        <v>26</v>
      </c>
      <c r="C22" s="11" t="s">
        <v>27</v>
      </c>
      <c r="D22" s="11">
        <v>4</v>
      </c>
      <c r="E22" s="12" t="s">
        <v>24</v>
      </c>
      <c r="F22" s="13">
        <v>45981</v>
      </c>
      <c r="G22" s="11">
        <v>20</v>
      </c>
      <c r="H22" s="13">
        <v>45996</v>
      </c>
      <c r="I22" s="13">
        <f t="shared" ca="1" si="1"/>
        <v>45969</v>
      </c>
      <c r="J22" s="11">
        <f t="shared" ca="1" si="2"/>
        <v>0</v>
      </c>
      <c r="K22" s="11">
        <f t="shared" ca="1" si="3"/>
        <v>20</v>
      </c>
      <c r="L22" s="14">
        <f t="shared" ca="1" si="4"/>
        <v>0</v>
      </c>
      <c r="M22" s="14">
        <v>0</v>
      </c>
      <c r="N22" s="15">
        <f t="shared" ca="1" si="5"/>
        <v>0</v>
      </c>
      <c r="O22" s="11">
        <v>18.232298199999999</v>
      </c>
      <c r="P22" s="11">
        <v>42.474657299999997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1</v>
      </c>
      <c r="E23" s="37" t="s">
        <v>18</v>
      </c>
      <c r="F23" s="34">
        <v>45981</v>
      </c>
      <c r="G23" s="38">
        <v>25</v>
      </c>
      <c r="H23" s="34">
        <v>46001</v>
      </c>
      <c r="I23" s="34">
        <f t="shared" ca="1" si="1"/>
        <v>45969</v>
      </c>
      <c r="J23" s="33">
        <f t="shared" ca="1" si="2"/>
        <v>0</v>
      </c>
      <c r="K23" s="33">
        <f t="shared" ca="1" si="3"/>
        <v>25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  <row r="24" spans="1:16" ht="15.75" customHeight="1" x14ac:dyDescent="0.2">
      <c r="A24" s="33">
        <v>8</v>
      </c>
      <c r="B24" s="33" t="s">
        <v>16</v>
      </c>
      <c r="C24" s="33" t="s">
        <v>25</v>
      </c>
      <c r="D24" s="33">
        <v>3</v>
      </c>
      <c r="E24" s="37" t="s">
        <v>24</v>
      </c>
      <c r="F24" s="34">
        <v>45981</v>
      </c>
      <c r="G24" s="38">
        <v>20</v>
      </c>
      <c r="H24" s="34">
        <v>45982</v>
      </c>
      <c r="I24" s="34">
        <f t="shared" ca="1" si="1"/>
        <v>45969</v>
      </c>
      <c r="J24" s="33">
        <f t="shared" ca="1" si="2"/>
        <v>0</v>
      </c>
      <c r="K24" s="33">
        <f t="shared" ca="1" si="3"/>
        <v>20</v>
      </c>
      <c r="L24" s="35">
        <f t="shared" ca="1" si="4"/>
        <v>0</v>
      </c>
      <c r="M24" s="35">
        <v>0</v>
      </c>
      <c r="N24" s="36">
        <f t="shared" ca="1" si="5"/>
        <v>0</v>
      </c>
      <c r="O24" s="38">
        <v>26.4060509</v>
      </c>
      <c r="P24" s="38">
        <v>50.183380100000001</v>
      </c>
    </row>
    <row r="25" spans="1:16" ht="15.75" customHeight="1" x14ac:dyDescent="0.2">
      <c r="A25" s="33">
        <v>8</v>
      </c>
      <c r="B25" s="33" t="s">
        <v>16</v>
      </c>
      <c r="C25" s="33" t="s">
        <v>25</v>
      </c>
      <c r="D25" s="33">
        <v>2</v>
      </c>
      <c r="E25" s="37" t="s">
        <v>19</v>
      </c>
      <c r="F25" s="34">
        <v>45981</v>
      </c>
      <c r="G25" s="38">
        <v>35</v>
      </c>
      <c r="H25" s="34">
        <v>46001</v>
      </c>
      <c r="I25" s="34">
        <f t="shared" ca="1" si="1"/>
        <v>45969</v>
      </c>
      <c r="J25" s="33">
        <f t="shared" ca="1" si="2"/>
        <v>0</v>
      </c>
      <c r="K25" s="33">
        <f t="shared" ca="1" si="3"/>
        <v>35</v>
      </c>
      <c r="L25" s="35">
        <f t="shared" ca="1" si="4"/>
        <v>0</v>
      </c>
      <c r="M25" s="35">
        <v>0</v>
      </c>
      <c r="N25" s="36">
        <f t="shared" ca="1" si="5"/>
        <v>0</v>
      </c>
      <c r="O25" s="38">
        <v>26.4060509</v>
      </c>
      <c r="P25" s="38">
        <v>50.183380100000001</v>
      </c>
    </row>
  </sheetData>
  <autoFilter ref="A1:P25" xr:uid="{00000000-0001-0000-0000-000000000000}">
    <sortState xmlns:xlrd2="http://schemas.microsoft.com/office/spreadsheetml/2017/richdata2" ref="A2:P28">
      <sortCondition ref="A1:A13"/>
    </sortState>
  </autoFilter>
  <conditionalFormatting sqref="F2:F25">
    <cfRule type="top10" dxfId="2" priority="37" rank="1"/>
    <cfRule type="top10" dxfId="1" priority="38" bottom="1" rank="1"/>
  </conditionalFormatting>
  <conditionalFormatting sqref="H2:H25">
    <cfRule type="top10" dxfId="0" priority="4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2025-11-08T08:08:48Z</dcterms:modified>
</cp:coreProperties>
</file>