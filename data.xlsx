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00_Main_Projects\HRC_Project\00_HRC_Project_Main\"/>
    </mc:Choice>
  </mc:AlternateContent>
  <xr:revisionPtr revIDLastSave="0" documentId="13_ncr:1_{291C0E8E-EA01-4931-BCF5-FD2358A1A0A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Sheet1!$A$1:$P$23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" l="1"/>
  <c r="J17" i="1" s="1"/>
  <c r="I16" i="1"/>
  <c r="J16" i="1" s="1"/>
  <c r="I15" i="1"/>
  <c r="J15" i="1" s="1"/>
  <c r="I20" i="1"/>
  <c r="J20" i="1" s="1"/>
  <c r="I19" i="1"/>
  <c r="J19" i="1" s="1"/>
  <c r="I18" i="1"/>
  <c r="J18" i="1" s="1"/>
  <c r="L15" i="1" l="1"/>
  <c r="N15" i="1" s="1"/>
  <c r="K15" i="1"/>
  <c r="L16" i="1"/>
  <c r="N16" i="1" s="1"/>
  <c r="K16" i="1"/>
  <c r="L17" i="1"/>
  <c r="N17" i="1" s="1"/>
  <c r="K17" i="1"/>
  <c r="L18" i="1"/>
  <c r="N18" i="1" s="1"/>
  <c r="K18" i="1"/>
  <c r="L19" i="1"/>
  <c r="N19" i="1" s="1"/>
  <c r="K19" i="1"/>
  <c r="K20" i="1"/>
  <c r="L20" i="1"/>
  <c r="N20" i="1" s="1"/>
  <c r="I22" i="1"/>
  <c r="J22" i="1" s="1"/>
  <c r="K22" i="1" s="1"/>
  <c r="I21" i="1"/>
  <c r="J21" i="1" s="1"/>
  <c r="K21" i="1" s="1"/>
  <c r="I23" i="1"/>
  <c r="J23" i="1" s="1"/>
  <c r="K23" i="1" s="1"/>
  <c r="L22" i="1" l="1"/>
  <c r="N22" i="1" s="1"/>
  <c r="L21" i="1"/>
  <c r="N21" i="1" s="1"/>
  <c r="L23" i="1"/>
  <c r="N23" i="1" s="1"/>
  <c r="G2" i="1" l="1"/>
  <c r="G3" i="1" l="1"/>
  <c r="G4" i="1"/>
  <c r="G6" i="1"/>
  <c r="G7" i="1"/>
  <c r="G5" i="1"/>
  <c r="G14" i="1"/>
  <c r="G9" i="1"/>
  <c r="G10" i="1"/>
  <c r="G8" i="1"/>
  <c r="G11" i="1"/>
  <c r="G13" i="1"/>
  <c r="G12" i="1"/>
  <c r="I2" i="1"/>
  <c r="J2" i="1" s="1"/>
  <c r="I3" i="1"/>
  <c r="J3" i="1" s="1"/>
  <c r="I4" i="1"/>
  <c r="J4" i="1" s="1"/>
  <c r="I6" i="1"/>
  <c r="J6" i="1" s="1"/>
  <c r="I7" i="1"/>
  <c r="J7" i="1" s="1"/>
  <c r="I5" i="1"/>
  <c r="J5" i="1" s="1"/>
  <c r="I14" i="1"/>
  <c r="J14" i="1" s="1"/>
  <c r="I9" i="1"/>
  <c r="J9" i="1" s="1"/>
  <c r="I10" i="1"/>
  <c r="J10" i="1" s="1"/>
  <c r="I8" i="1"/>
  <c r="J8" i="1" s="1"/>
  <c r="I11" i="1"/>
  <c r="J11" i="1" s="1"/>
  <c r="I13" i="1"/>
  <c r="J13" i="1" s="1"/>
  <c r="I12" i="1"/>
  <c r="J12" i="1" s="1"/>
  <c r="L9" i="1" l="1"/>
  <c r="N9" i="1" s="1"/>
  <c r="L12" i="1"/>
  <c r="N12" i="1" s="1"/>
  <c r="K13" i="1"/>
  <c r="K9" i="1"/>
  <c r="K5" i="1"/>
  <c r="K3" i="1"/>
  <c r="K11" i="1"/>
  <c r="K10" i="1"/>
  <c r="K4" i="1"/>
  <c r="L8" i="1"/>
  <c r="N8" i="1" s="1"/>
  <c r="L11" i="1"/>
  <c r="N11" i="1" s="1"/>
  <c r="K8" i="1"/>
  <c r="L7" i="1"/>
  <c r="N7" i="1" s="1"/>
  <c r="K2" i="1"/>
  <c r="K6" i="1"/>
  <c r="K7" i="1"/>
  <c r="L13" i="1"/>
  <c r="N13" i="1" s="1"/>
  <c r="K12" i="1"/>
  <c r="L5" i="1"/>
  <c r="N5" i="1" s="1"/>
  <c r="K14" i="1"/>
  <c r="L14" i="1"/>
  <c r="N14" i="1" s="1"/>
  <c r="L10" i="1"/>
  <c r="N10" i="1" s="1"/>
  <c r="L4" i="1"/>
  <c r="N4" i="1" s="1"/>
  <c r="L3" i="1"/>
  <c r="N3" i="1" s="1"/>
  <c r="L2" i="1"/>
  <c r="N2" i="1" s="1"/>
  <c r="L6" i="1"/>
  <c r="N6" i="1" s="1"/>
</calcChain>
</file>

<file path=xl/sharedStrings.xml><?xml version="1.0" encoding="utf-8"?>
<sst xmlns="http://schemas.openxmlformats.org/spreadsheetml/2006/main" count="82" uniqueCount="29">
  <si>
    <t>SiteKey</t>
  </si>
  <si>
    <t>المرحلة</t>
  </si>
  <si>
    <t>الموقع</t>
  </si>
  <si>
    <t>TaskKey</t>
  </si>
  <si>
    <t>البند الرئيسي</t>
  </si>
  <si>
    <t>تاريخ البداية</t>
  </si>
  <si>
    <t>المدة الكلية (يوم)</t>
  </si>
  <si>
    <t>تاريخ النهاية</t>
  </si>
  <si>
    <t>تاريخ اليوم</t>
  </si>
  <si>
    <t>المدة المنقضية (يوم)</t>
  </si>
  <si>
    <t>المدة المتبقية (يوم)</t>
  </si>
  <si>
    <t>النسبة المخططة (%)</t>
  </si>
  <si>
    <t>النسبة الفعلية (%)</t>
  </si>
  <si>
    <t>الانحراف (%)</t>
  </si>
  <si>
    <t>Latitude</t>
  </si>
  <si>
    <t>Longitude</t>
  </si>
  <si>
    <t>الأولى</t>
  </si>
  <si>
    <t>الرياض</t>
  </si>
  <si>
    <t>الأعمال المعمارية</t>
  </si>
  <si>
    <t>الأعمال الكهربائية</t>
  </si>
  <si>
    <t>تبوك</t>
  </si>
  <si>
    <t>حائل</t>
  </si>
  <si>
    <t>الجوف</t>
  </si>
  <si>
    <t>نجران</t>
  </si>
  <si>
    <t>الأعمال الميكانيكية</t>
  </si>
  <si>
    <t>الدمام</t>
  </si>
  <si>
    <t>الثانية</t>
  </si>
  <si>
    <t>أبها</t>
  </si>
  <si>
    <t>جدة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</si>
</sst>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0"/>
      <color rgb="FF000000"/>
      <name val="Arial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D9EDF7"/>
        <bgColor rgb="FFD9EDF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10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10" fontId="1" fillId="5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0" fontId="1" fillId="8" borderId="1" xfId="0" applyNumberFormat="1" applyFont="1" applyFill="1" applyBorder="1" applyAlignment="1">
      <alignment horizontal="center" vertical="center"/>
    </xf>
    <xf numFmtId="10" fontId="2" fillId="8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164" fontId="2" fillId="9" borderId="1" xfId="0" applyNumberFormat="1" applyFont="1" applyFill="1" applyBorder="1" applyAlignment="1">
      <alignment horizontal="center" vertical="center"/>
    </xf>
    <xf numFmtId="10" fontId="1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10" fontId="1" fillId="10" borderId="1" xfId="0" applyNumberFormat="1" applyFont="1" applyFill="1" applyBorder="1" applyAlignment="1">
      <alignment horizontal="center" vertical="center"/>
    </xf>
    <xf numFmtId="10" fontId="2" fillId="10" borderId="1" xfId="0" applyNumberFormat="1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10" fontId="1" fillId="11" borderId="1" xfId="0" applyNumberFormat="1" applyFont="1" applyFill="1" applyBorder="1" applyAlignment="1">
      <alignment horizontal="center" vertical="center"/>
    </xf>
    <xf numFmtId="10" fontId="2" fillId="11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0" fontId="1" fillId="12" borderId="1" xfId="0" applyNumberFormat="1" applyFont="1" applyFill="1" applyBorder="1" applyAlignment="1">
      <alignment horizontal="center" vertical="center"/>
    </xf>
    <xf numFmtId="10" fontId="2" fillId="12" borderId="1" xfId="0" applyNumberFormat="1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23"/>
  <sheetViews>
    <sheetView tabSelected="1" workbookViewId="0">
      <selection activeCell="H18" sqref="H18"/>
    </sheetView>
  </sheetViews>
  <sheetFormatPr defaultColWidth="12.5703125" defaultRowHeight="15.75" customHeight="1" x14ac:dyDescent="0.2"/>
  <cols>
    <col min="1" max="1" width="12.85546875" style="1" bestFit="1" customWidth="1"/>
    <col min="2" max="2" width="11.5703125" style="1" bestFit="1" customWidth="1"/>
    <col min="3" max="3" width="10.5703125" style="1" bestFit="1" customWidth="1"/>
    <col min="4" max="4" width="13.42578125" style="1" bestFit="1" customWidth="1"/>
    <col min="5" max="5" width="15.7109375" style="1" bestFit="1" customWidth="1"/>
    <col min="6" max="6" width="15.5703125" style="1" bestFit="1" customWidth="1"/>
    <col min="7" max="7" width="15" style="1" bestFit="1" customWidth="1"/>
    <col min="8" max="8" width="15.5703125" style="1" bestFit="1" customWidth="1"/>
    <col min="9" max="9" width="14.28515625" style="1" bestFit="1" customWidth="1"/>
    <col min="10" max="10" width="12.140625" style="1" bestFit="1" customWidth="1"/>
    <col min="11" max="11" width="11" style="1" bestFit="1" customWidth="1"/>
    <col min="12" max="12" width="22.85546875" style="1" bestFit="1" customWidth="1"/>
    <col min="13" max="13" width="11.5703125" style="1" bestFit="1" customWidth="1"/>
    <col min="14" max="14" width="16.42578125" style="1" bestFit="1" customWidth="1"/>
    <col min="15" max="15" width="13.7109375" style="1" bestFit="1" customWidth="1"/>
    <col min="16" max="16" width="15.42578125" style="1" bestFit="1" customWidth="1"/>
    <col min="17" max="16384" width="12.5703125" style="1"/>
  </cols>
  <sheetData>
    <row r="1" spans="1:16" s="32" customFormat="1" ht="56.45" customHeight="1" x14ac:dyDescent="0.2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  <c r="K1" s="31" t="s">
        <v>10</v>
      </c>
      <c r="L1" s="31" t="s">
        <v>11</v>
      </c>
      <c r="M1" s="31" t="s">
        <v>12</v>
      </c>
      <c r="N1" s="31" t="s">
        <v>13</v>
      </c>
      <c r="O1" s="31" t="s">
        <v>14</v>
      </c>
      <c r="P1" s="31" t="s">
        <v>15</v>
      </c>
    </row>
    <row r="2" spans="1:16" ht="15.75" customHeight="1" x14ac:dyDescent="0.2">
      <c r="A2" s="4">
        <v>1</v>
      </c>
      <c r="B2" s="4" t="s">
        <v>16</v>
      </c>
      <c r="C2" s="4" t="s">
        <v>17</v>
      </c>
      <c r="D2" s="4">
        <v>1</v>
      </c>
      <c r="E2" s="5" t="s">
        <v>18</v>
      </c>
      <c r="F2" s="6">
        <v>45961</v>
      </c>
      <c r="G2" s="4">
        <f t="shared" ref="G2:G13" si="0">H2-F2</f>
        <v>18</v>
      </c>
      <c r="H2" s="6">
        <v>45979</v>
      </c>
      <c r="I2" s="6">
        <f t="shared" ref="I2:I23" ca="1" si="1">TODAY()</f>
        <v>45977</v>
      </c>
      <c r="J2" s="4">
        <f t="shared" ref="J2:J23" ca="1" si="2">IF(F2="",0,MAX(0,I2-F2))</f>
        <v>16</v>
      </c>
      <c r="K2" s="4">
        <f t="shared" ref="K2:K23" ca="1" si="3">IF(G2="",0,MAX(0,G2-J2))</f>
        <v>2</v>
      </c>
      <c r="L2" s="10">
        <f t="shared" ref="L2:L23" ca="1" si="4">IF(OR(G2="",G2=0),0,MIN(1,MAX(0,J2/G2)))</f>
        <v>0.88888888888888884</v>
      </c>
      <c r="M2" s="10">
        <v>0.82</v>
      </c>
      <c r="N2" s="7">
        <f t="shared" ref="N2:N23" ca="1" si="5">IF(M2="",0,M2-L2)</f>
        <v>-6.8888888888888888E-2</v>
      </c>
      <c r="O2" s="4">
        <v>24.759638299999999</v>
      </c>
      <c r="P2" s="4">
        <v>46.527646799999999</v>
      </c>
    </row>
    <row r="3" spans="1:16" ht="15.75" customHeight="1" x14ac:dyDescent="0.2">
      <c r="A3" s="4">
        <v>1</v>
      </c>
      <c r="B3" s="4" t="s">
        <v>16</v>
      </c>
      <c r="C3" s="4" t="s">
        <v>17</v>
      </c>
      <c r="D3" s="4">
        <v>2</v>
      </c>
      <c r="E3" s="5" t="s">
        <v>19</v>
      </c>
      <c r="F3" s="6">
        <v>45881</v>
      </c>
      <c r="G3" s="4">
        <f t="shared" si="0"/>
        <v>102</v>
      </c>
      <c r="H3" s="6">
        <v>45983</v>
      </c>
      <c r="I3" s="6">
        <f t="shared" ca="1" si="1"/>
        <v>45977</v>
      </c>
      <c r="J3" s="4">
        <f t="shared" ca="1" si="2"/>
        <v>96</v>
      </c>
      <c r="K3" s="4">
        <f t="shared" ca="1" si="3"/>
        <v>6</v>
      </c>
      <c r="L3" s="10">
        <f t="shared" ca="1" si="4"/>
        <v>0.94117647058823528</v>
      </c>
      <c r="M3" s="10">
        <v>0.95</v>
      </c>
      <c r="N3" s="7">
        <f t="shared" ca="1" si="5"/>
        <v>8.8235294117646745E-3</v>
      </c>
      <c r="O3" s="4">
        <v>24.759638299999999</v>
      </c>
      <c r="P3" s="4">
        <v>46.527646799999999</v>
      </c>
    </row>
    <row r="4" spans="1:16" ht="15.75" customHeight="1" x14ac:dyDescent="0.2">
      <c r="A4" s="4">
        <v>1</v>
      </c>
      <c r="B4" s="4" t="s">
        <v>16</v>
      </c>
      <c r="C4" s="4" t="s">
        <v>17</v>
      </c>
      <c r="D4" s="4">
        <v>3</v>
      </c>
      <c r="E4" s="5" t="s">
        <v>24</v>
      </c>
      <c r="F4" s="6">
        <v>45925</v>
      </c>
      <c r="G4" s="4">
        <f t="shared" si="0"/>
        <v>38</v>
      </c>
      <c r="H4" s="6">
        <v>45963</v>
      </c>
      <c r="I4" s="6">
        <f t="shared" ca="1" si="1"/>
        <v>45977</v>
      </c>
      <c r="J4" s="4">
        <f t="shared" ca="1" si="2"/>
        <v>52</v>
      </c>
      <c r="K4" s="4">
        <f t="shared" ca="1" si="3"/>
        <v>0</v>
      </c>
      <c r="L4" s="10">
        <f t="shared" ca="1" si="4"/>
        <v>1</v>
      </c>
      <c r="M4" s="10">
        <v>1</v>
      </c>
      <c r="N4" s="7">
        <f t="shared" ca="1" si="5"/>
        <v>0</v>
      </c>
      <c r="O4" s="4">
        <v>24.759638299999999</v>
      </c>
      <c r="P4" s="4">
        <v>46.527646799999999</v>
      </c>
    </row>
    <row r="5" spans="1:16" ht="15.75" customHeight="1" x14ac:dyDescent="0.2">
      <c r="A5" s="3">
        <v>2</v>
      </c>
      <c r="B5" s="3" t="s">
        <v>16</v>
      </c>
      <c r="C5" s="11" t="s">
        <v>20</v>
      </c>
      <c r="D5" s="11">
        <v>3</v>
      </c>
      <c r="E5" s="12" t="s">
        <v>24</v>
      </c>
      <c r="F5" s="13">
        <v>45959</v>
      </c>
      <c r="G5" s="11">
        <f t="shared" si="0"/>
        <v>23</v>
      </c>
      <c r="H5" s="13">
        <v>45982</v>
      </c>
      <c r="I5" s="13">
        <f t="shared" ca="1" si="1"/>
        <v>45977</v>
      </c>
      <c r="J5" s="11">
        <f t="shared" ca="1" si="2"/>
        <v>18</v>
      </c>
      <c r="K5" s="11">
        <f t="shared" ca="1" si="3"/>
        <v>5</v>
      </c>
      <c r="L5" s="14">
        <f t="shared" ca="1" si="4"/>
        <v>0.78260869565217395</v>
      </c>
      <c r="M5" s="14">
        <v>0.74790000000000001</v>
      </c>
      <c r="N5" s="15">
        <f t="shared" ca="1" si="5"/>
        <v>-3.4708695652173938E-2</v>
      </c>
      <c r="O5" s="11">
        <v>28.420234799999999</v>
      </c>
      <c r="P5" s="11">
        <v>36.531748100000002</v>
      </c>
    </row>
    <row r="6" spans="1:16" ht="15.75" customHeight="1" x14ac:dyDescent="0.2">
      <c r="A6" s="3">
        <v>2</v>
      </c>
      <c r="B6" s="3" t="s">
        <v>16</v>
      </c>
      <c r="C6" s="11" t="s">
        <v>20</v>
      </c>
      <c r="D6" s="11">
        <v>1</v>
      </c>
      <c r="E6" s="12" t="s">
        <v>18</v>
      </c>
      <c r="F6" s="13">
        <v>45961</v>
      </c>
      <c r="G6" s="11">
        <f t="shared" si="0"/>
        <v>40</v>
      </c>
      <c r="H6" s="13">
        <v>46001</v>
      </c>
      <c r="I6" s="13">
        <f t="shared" ca="1" si="1"/>
        <v>45977</v>
      </c>
      <c r="J6" s="11">
        <f t="shared" ca="1" si="2"/>
        <v>16</v>
      </c>
      <c r="K6" s="11">
        <f t="shared" ca="1" si="3"/>
        <v>24</v>
      </c>
      <c r="L6" s="14">
        <f t="shared" ca="1" si="4"/>
        <v>0.4</v>
      </c>
      <c r="M6" s="14">
        <v>0.28999999999999998</v>
      </c>
      <c r="N6" s="15">
        <f t="shared" ca="1" si="5"/>
        <v>-0.11000000000000004</v>
      </c>
      <c r="O6" s="11">
        <v>28.420234799999999</v>
      </c>
      <c r="P6" s="11">
        <v>36.531748100000002</v>
      </c>
    </row>
    <row r="7" spans="1:16" ht="15.75" customHeight="1" x14ac:dyDescent="0.2">
      <c r="A7" s="3">
        <v>2</v>
      </c>
      <c r="B7" s="3" t="s">
        <v>16</v>
      </c>
      <c r="C7" s="11" t="s">
        <v>20</v>
      </c>
      <c r="D7" s="11">
        <v>2</v>
      </c>
      <c r="E7" s="12" t="s">
        <v>19</v>
      </c>
      <c r="F7" s="13">
        <v>45949</v>
      </c>
      <c r="G7" s="11">
        <f t="shared" si="0"/>
        <v>52</v>
      </c>
      <c r="H7" s="13">
        <v>46001</v>
      </c>
      <c r="I7" s="13">
        <f t="shared" ca="1" si="1"/>
        <v>45977</v>
      </c>
      <c r="J7" s="11">
        <f t="shared" ca="1" si="2"/>
        <v>28</v>
      </c>
      <c r="K7" s="11">
        <f t="shared" ca="1" si="3"/>
        <v>24</v>
      </c>
      <c r="L7" s="14">
        <f t="shared" ca="1" si="4"/>
        <v>0.53846153846153844</v>
      </c>
      <c r="M7" s="14">
        <v>0.6</v>
      </c>
      <c r="N7" s="15">
        <f t="shared" ca="1" si="5"/>
        <v>6.1538461538461542E-2</v>
      </c>
      <c r="O7" s="11">
        <v>28.420234799999999</v>
      </c>
      <c r="P7" s="11">
        <v>36.531748100000002</v>
      </c>
    </row>
    <row r="8" spans="1:16" ht="15.75" customHeight="1" x14ac:dyDescent="0.2">
      <c r="A8" s="8">
        <v>4</v>
      </c>
      <c r="B8" s="8" t="s">
        <v>16</v>
      </c>
      <c r="C8" s="21" t="s">
        <v>22</v>
      </c>
      <c r="D8" s="21">
        <v>3</v>
      </c>
      <c r="E8" s="22" t="s">
        <v>24</v>
      </c>
      <c r="F8" s="23">
        <v>45955</v>
      </c>
      <c r="G8" s="21">
        <f t="shared" si="0"/>
        <v>46</v>
      </c>
      <c r="H8" s="23">
        <v>46001</v>
      </c>
      <c r="I8" s="23">
        <f t="shared" ca="1" si="1"/>
        <v>45977</v>
      </c>
      <c r="J8" s="21">
        <f t="shared" ca="1" si="2"/>
        <v>22</v>
      </c>
      <c r="K8" s="21">
        <f t="shared" ca="1" si="3"/>
        <v>24</v>
      </c>
      <c r="L8" s="24">
        <f t="shared" ca="1" si="4"/>
        <v>0.47826086956521741</v>
      </c>
      <c r="M8" s="24">
        <v>0.51949999999999996</v>
      </c>
      <c r="N8" s="25">
        <f t="shared" ca="1" si="5"/>
        <v>4.1239130434782556E-2</v>
      </c>
      <c r="O8" s="21">
        <v>30.008533100000001</v>
      </c>
      <c r="P8" s="21">
        <v>40.2162997</v>
      </c>
    </row>
    <row r="9" spans="1:16" ht="15.75" customHeight="1" x14ac:dyDescent="0.2">
      <c r="A9" s="8">
        <v>4</v>
      </c>
      <c r="B9" s="8" t="s">
        <v>16</v>
      </c>
      <c r="C9" s="21" t="s">
        <v>22</v>
      </c>
      <c r="D9" s="21">
        <v>1</v>
      </c>
      <c r="E9" s="22" t="s">
        <v>18</v>
      </c>
      <c r="F9" s="23">
        <v>45964</v>
      </c>
      <c r="G9" s="21">
        <f t="shared" si="0"/>
        <v>37</v>
      </c>
      <c r="H9" s="23">
        <v>46001</v>
      </c>
      <c r="I9" s="23">
        <f t="shared" ca="1" si="1"/>
        <v>45977</v>
      </c>
      <c r="J9" s="21">
        <f t="shared" ca="1" si="2"/>
        <v>13</v>
      </c>
      <c r="K9" s="21">
        <f t="shared" ca="1" si="3"/>
        <v>24</v>
      </c>
      <c r="L9" s="24">
        <f t="shared" ca="1" si="4"/>
        <v>0.35135135135135137</v>
      </c>
      <c r="M9" s="24">
        <v>0.13</v>
      </c>
      <c r="N9" s="25">
        <f t="shared" ca="1" si="5"/>
        <v>-0.22135135135135137</v>
      </c>
      <c r="O9" s="21">
        <v>30.008533100000001</v>
      </c>
      <c r="P9" s="21">
        <v>40.2162997</v>
      </c>
    </row>
    <row r="10" spans="1:16" ht="15.75" customHeight="1" x14ac:dyDescent="0.2">
      <c r="A10" s="8">
        <v>4</v>
      </c>
      <c r="B10" s="8" t="s">
        <v>16</v>
      </c>
      <c r="C10" s="21" t="s">
        <v>22</v>
      </c>
      <c r="D10" s="21">
        <v>2</v>
      </c>
      <c r="E10" s="22" t="s">
        <v>19</v>
      </c>
      <c r="F10" s="23">
        <v>45958</v>
      </c>
      <c r="G10" s="21">
        <f t="shared" si="0"/>
        <v>43</v>
      </c>
      <c r="H10" s="23">
        <v>46001</v>
      </c>
      <c r="I10" s="23">
        <f t="shared" ca="1" si="1"/>
        <v>45977</v>
      </c>
      <c r="J10" s="21">
        <f t="shared" ca="1" si="2"/>
        <v>19</v>
      </c>
      <c r="K10" s="21">
        <f t="shared" ca="1" si="3"/>
        <v>24</v>
      </c>
      <c r="L10" s="24">
        <f t="shared" ca="1" si="4"/>
        <v>0.44186046511627908</v>
      </c>
      <c r="M10" s="24">
        <v>0.57999999999999996</v>
      </c>
      <c r="N10" s="25">
        <f t="shared" ca="1" si="5"/>
        <v>0.13813953488372088</v>
      </c>
      <c r="O10" s="21">
        <v>30.008533100000001</v>
      </c>
      <c r="P10" s="21">
        <v>40.2162997</v>
      </c>
    </row>
    <row r="11" spans="1:16" ht="15.75" customHeight="1" x14ac:dyDescent="0.2">
      <c r="A11" s="9">
        <v>5</v>
      </c>
      <c r="B11" s="9" t="s">
        <v>16</v>
      </c>
      <c r="C11" s="26" t="s">
        <v>23</v>
      </c>
      <c r="D11" s="26">
        <v>1</v>
      </c>
      <c r="E11" s="27" t="s">
        <v>18</v>
      </c>
      <c r="F11" s="28">
        <v>45963</v>
      </c>
      <c r="G11" s="26">
        <f t="shared" si="0"/>
        <v>38</v>
      </c>
      <c r="H11" s="28">
        <v>46001</v>
      </c>
      <c r="I11" s="28">
        <f t="shared" ca="1" si="1"/>
        <v>45977</v>
      </c>
      <c r="J11" s="26">
        <f t="shared" ca="1" si="2"/>
        <v>14</v>
      </c>
      <c r="K11" s="26">
        <f t="shared" ca="1" si="3"/>
        <v>24</v>
      </c>
      <c r="L11" s="29">
        <f t="shared" ca="1" si="4"/>
        <v>0.36842105263157893</v>
      </c>
      <c r="M11" s="29">
        <v>0.2</v>
      </c>
      <c r="N11" s="30">
        <f t="shared" ca="1" si="5"/>
        <v>-0.16842105263157892</v>
      </c>
      <c r="O11" s="26">
        <v>17.564813900000001</v>
      </c>
      <c r="P11" s="26">
        <v>44.316760500000001</v>
      </c>
    </row>
    <row r="12" spans="1:16" ht="15.75" customHeight="1" x14ac:dyDescent="0.2">
      <c r="A12" s="9">
        <v>5</v>
      </c>
      <c r="B12" s="9" t="s">
        <v>16</v>
      </c>
      <c r="C12" s="26" t="s">
        <v>23</v>
      </c>
      <c r="D12" s="26">
        <v>3</v>
      </c>
      <c r="E12" s="27" t="s">
        <v>24</v>
      </c>
      <c r="F12" s="28">
        <v>45950</v>
      </c>
      <c r="G12" s="26">
        <f t="shared" si="0"/>
        <v>51</v>
      </c>
      <c r="H12" s="28">
        <v>46001</v>
      </c>
      <c r="I12" s="28">
        <f t="shared" ca="1" si="1"/>
        <v>45977</v>
      </c>
      <c r="J12" s="26">
        <f t="shared" ca="1" si="2"/>
        <v>27</v>
      </c>
      <c r="K12" s="26">
        <f t="shared" ca="1" si="3"/>
        <v>24</v>
      </c>
      <c r="L12" s="29">
        <f t="shared" ca="1" si="4"/>
        <v>0.52941176470588236</v>
      </c>
      <c r="M12" s="29">
        <v>0.67710000000000004</v>
      </c>
      <c r="N12" s="30">
        <f t="shared" ca="1" si="5"/>
        <v>0.14768823529411768</v>
      </c>
      <c r="O12" s="26">
        <v>17.564813900000001</v>
      </c>
      <c r="P12" s="26">
        <v>44.316760500000001</v>
      </c>
    </row>
    <row r="13" spans="1:16" ht="15.75" customHeight="1" x14ac:dyDescent="0.2">
      <c r="A13" s="9">
        <v>5</v>
      </c>
      <c r="B13" s="9" t="s">
        <v>16</v>
      </c>
      <c r="C13" s="26" t="s">
        <v>23</v>
      </c>
      <c r="D13" s="26">
        <v>2</v>
      </c>
      <c r="E13" s="27" t="s">
        <v>19</v>
      </c>
      <c r="F13" s="28">
        <v>45945</v>
      </c>
      <c r="G13" s="26">
        <f t="shared" si="0"/>
        <v>56</v>
      </c>
      <c r="H13" s="28">
        <v>46001</v>
      </c>
      <c r="I13" s="28">
        <f t="shared" ca="1" si="1"/>
        <v>45977</v>
      </c>
      <c r="J13" s="26">
        <f t="shared" ca="1" si="2"/>
        <v>32</v>
      </c>
      <c r="K13" s="26">
        <f t="shared" ca="1" si="3"/>
        <v>24</v>
      </c>
      <c r="L13" s="29">
        <f t="shared" ca="1" si="4"/>
        <v>0.5714285714285714</v>
      </c>
      <c r="M13" s="29">
        <v>0.66</v>
      </c>
      <c r="N13" s="30">
        <f t="shared" ca="1" si="5"/>
        <v>8.8571428571428634E-2</v>
      </c>
      <c r="O13" s="26">
        <v>17.564813900000001</v>
      </c>
      <c r="P13" s="26">
        <v>44.316760500000001</v>
      </c>
    </row>
    <row r="14" spans="1:16" ht="15.75" customHeight="1" x14ac:dyDescent="0.2">
      <c r="A14" s="2">
        <v>3</v>
      </c>
      <c r="B14" s="2" t="s">
        <v>16</v>
      </c>
      <c r="C14" s="16" t="s">
        <v>21</v>
      </c>
      <c r="D14" s="16">
        <v>1</v>
      </c>
      <c r="E14" s="17" t="s">
        <v>18</v>
      </c>
      <c r="F14" s="18">
        <v>45975</v>
      </c>
      <c r="G14" s="16">
        <f>H14-F14</f>
        <v>26</v>
      </c>
      <c r="H14" s="18">
        <v>46001</v>
      </c>
      <c r="I14" s="18">
        <f t="shared" ca="1" si="1"/>
        <v>45977</v>
      </c>
      <c r="J14" s="16">
        <f ca="1">IF(F14="",0,MAX(0,I14-F14))</f>
        <v>2</v>
      </c>
      <c r="K14" s="16">
        <f ca="1">IF(G14="",0,MAX(0,G14-J14))</f>
        <v>24</v>
      </c>
      <c r="L14" s="19">
        <f ca="1">IF(OR(G14="",G14=0),0,MIN(1,MAX(0,J14/G14)))</f>
        <v>7.6923076923076927E-2</v>
      </c>
      <c r="M14" s="19">
        <v>0.05</v>
      </c>
      <c r="N14" s="20">
        <f ca="1">IF(M14="",0,M14-L14)</f>
        <v>-2.6923076923076925E-2</v>
      </c>
      <c r="O14" s="16">
        <v>27.4742721</v>
      </c>
      <c r="P14" s="16">
        <v>41.703162800000001</v>
      </c>
    </row>
    <row r="15" spans="1:16" ht="15.75" customHeight="1" x14ac:dyDescent="0.2">
      <c r="A15" s="2">
        <v>6</v>
      </c>
      <c r="B15" s="2" t="s">
        <v>26</v>
      </c>
      <c r="C15" s="16" t="s">
        <v>28</v>
      </c>
      <c r="D15" s="16">
        <v>2</v>
      </c>
      <c r="E15" s="17" t="s">
        <v>19</v>
      </c>
      <c r="F15" s="18">
        <v>45981</v>
      </c>
      <c r="G15" s="16">
        <v>35</v>
      </c>
      <c r="H15" s="18">
        <v>45951</v>
      </c>
      <c r="I15" s="18">
        <f t="shared" ca="1" si="1"/>
        <v>45977</v>
      </c>
      <c r="J15" s="16">
        <f t="shared" ca="1" si="2"/>
        <v>0</v>
      </c>
      <c r="K15" s="16">
        <f t="shared" ca="1" si="3"/>
        <v>35</v>
      </c>
      <c r="L15" s="19">
        <f t="shared" ca="1" si="4"/>
        <v>0</v>
      </c>
      <c r="M15" s="19">
        <v>0</v>
      </c>
      <c r="N15" s="20">
        <f t="shared" ca="1" si="5"/>
        <v>0</v>
      </c>
      <c r="O15" s="16">
        <v>21.574216100000001</v>
      </c>
      <c r="P15" s="16">
        <v>39.165553000000003</v>
      </c>
    </row>
    <row r="16" spans="1:16" ht="15.75" customHeight="1" x14ac:dyDescent="0.2">
      <c r="A16" s="2">
        <v>6</v>
      </c>
      <c r="B16" s="2" t="s">
        <v>26</v>
      </c>
      <c r="C16" s="16" t="s">
        <v>28</v>
      </c>
      <c r="D16" s="16">
        <v>3</v>
      </c>
      <c r="E16" s="17" t="s">
        <v>18</v>
      </c>
      <c r="F16" s="18">
        <v>45981</v>
      </c>
      <c r="G16" s="16">
        <v>25</v>
      </c>
      <c r="H16" s="18">
        <v>45976</v>
      </c>
      <c r="I16" s="18">
        <f t="shared" ca="1" si="1"/>
        <v>45977</v>
      </c>
      <c r="J16" s="16">
        <f t="shared" ca="1" si="2"/>
        <v>0</v>
      </c>
      <c r="K16" s="16">
        <f t="shared" ca="1" si="3"/>
        <v>25</v>
      </c>
      <c r="L16" s="19">
        <f t="shared" ca="1" si="4"/>
        <v>0</v>
      </c>
      <c r="M16" s="19">
        <v>0</v>
      </c>
      <c r="N16" s="20">
        <f t="shared" ca="1" si="5"/>
        <v>0</v>
      </c>
      <c r="O16" s="16">
        <v>21.574216100000001</v>
      </c>
      <c r="P16" s="16">
        <v>39.165553000000003</v>
      </c>
    </row>
    <row r="17" spans="1:16" ht="15.75" customHeight="1" x14ac:dyDescent="0.2">
      <c r="A17" s="2">
        <v>6</v>
      </c>
      <c r="B17" s="2" t="s">
        <v>26</v>
      </c>
      <c r="C17" s="16" t="s">
        <v>28</v>
      </c>
      <c r="D17" s="16">
        <v>4</v>
      </c>
      <c r="E17" s="17" t="s">
        <v>24</v>
      </c>
      <c r="F17" s="18">
        <v>45981</v>
      </c>
      <c r="G17" s="16">
        <v>20</v>
      </c>
      <c r="H17" s="18">
        <v>45996</v>
      </c>
      <c r="I17" s="18">
        <f t="shared" ca="1" si="1"/>
        <v>45977</v>
      </c>
      <c r="J17" s="16">
        <f t="shared" ca="1" si="2"/>
        <v>0</v>
      </c>
      <c r="K17" s="16">
        <f t="shared" ca="1" si="3"/>
        <v>20</v>
      </c>
      <c r="L17" s="19">
        <f t="shared" ca="1" si="4"/>
        <v>0</v>
      </c>
      <c r="M17" s="19">
        <v>0</v>
      </c>
      <c r="N17" s="20">
        <f t="shared" ca="1" si="5"/>
        <v>0</v>
      </c>
      <c r="O17" s="16">
        <v>21.574216100000001</v>
      </c>
      <c r="P17" s="16">
        <v>39.165553000000003</v>
      </c>
    </row>
    <row r="18" spans="1:16" ht="15.75" customHeight="1" x14ac:dyDescent="0.2">
      <c r="A18" s="3">
        <v>7</v>
      </c>
      <c r="B18" s="3" t="s">
        <v>26</v>
      </c>
      <c r="C18" s="11" t="s">
        <v>27</v>
      </c>
      <c r="D18" s="11">
        <v>2</v>
      </c>
      <c r="E18" s="12" t="s">
        <v>19</v>
      </c>
      <c r="F18" s="13">
        <v>45981</v>
      </c>
      <c r="G18" s="11">
        <v>35</v>
      </c>
      <c r="H18" s="13">
        <v>45951</v>
      </c>
      <c r="I18" s="13">
        <f t="shared" ca="1" si="1"/>
        <v>45977</v>
      </c>
      <c r="J18" s="11">
        <f t="shared" ca="1" si="2"/>
        <v>0</v>
      </c>
      <c r="K18" s="11">
        <f t="shared" ca="1" si="3"/>
        <v>35</v>
      </c>
      <c r="L18" s="14">
        <f t="shared" ca="1" si="4"/>
        <v>0</v>
      </c>
      <c r="M18" s="14">
        <v>0</v>
      </c>
      <c r="N18" s="15">
        <f t="shared" ca="1" si="5"/>
        <v>0</v>
      </c>
      <c r="O18" s="11">
        <v>18.232298199999999</v>
      </c>
      <c r="P18" s="11">
        <v>42.474657299999997</v>
      </c>
    </row>
    <row r="19" spans="1:16" ht="15.75" customHeight="1" x14ac:dyDescent="0.2">
      <c r="A19" s="3">
        <v>7</v>
      </c>
      <c r="B19" s="3" t="s">
        <v>26</v>
      </c>
      <c r="C19" s="11" t="s">
        <v>27</v>
      </c>
      <c r="D19" s="11">
        <v>3</v>
      </c>
      <c r="E19" s="12" t="s">
        <v>18</v>
      </c>
      <c r="F19" s="13">
        <v>45981</v>
      </c>
      <c r="G19" s="11">
        <v>25</v>
      </c>
      <c r="H19" s="13">
        <v>45976</v>
      </c>
      <c r="I19" s="13">
        <f t="shared" ca="1" si="1"/>
        <v>45977</v>
      </c>
      <c r="J19" s="11">
        <f t="shared" ca="1" si="2"/>
        <v>0</v>
      </c>
      <c r="K19" s="11">
        <f t="shared" ca="1" si="3"/>
        <v>25</v>
      </c>
      <c r="L19" s="14">
        <f t="shared" ca="1" si="4"/>
        <v>0</v>
      </c>
      <c r="M19" s="14">
        <v>0</v>
      </c>
      <c r="N19" s="15">
        <f t="shared" ca="1" si="5"/>
        <v>0</v>
      </c>
      <c r="O19" s="11">
        <v>18.232298199999999</v>
      </c>
      <c r="P19" s="11">
        <v>42.474657299999997</v>
      </c>
    </row>
    <row r="20" spans="1:16" ht="15.75" customHeight="1" x14ac:dyDescent="0.2">
      <c r="A20" s="3">
        <v>7</v>
      </c>
      <c r="B20" s="3" t="s">
        <v>26</v>
      </c>
      <c r="C20" s="11" t="s">
        <v>27</v>
      </c>
      <c r="D20" s="11">
        <v>4</v>
      </c>
      <c r="E20" s="12" t="s">
        <v>24</v>
      </c>
      <c r="F20" s="13">
        <v>45981</v>
      </c>
      <c r="G20" s="11">
        <v>20</v>
      </c>
      <c r="H20" s="13">
        <v>45996</v>
      </c>
      <c r="I20" s="13">
        <f t="shared" ca="1" si="1"/>
        <v>45977</v>
      </c>
      <c r="J20" s="11">
        <f t="shared" ca="1" si="2"/>
        <v>0</v>
      </c>
      <c r="K20" s="11">
        <f t="shared" ca="1" si="3"/>
        <v>20</v>
      </c>
      <c r="L20" s="14">
        <f t="shared" ca="1" si="4"/>
        <v>0</v>
      </c>
      <c r="M20" s="14">
        <v>0</v>
      </c>
      <c r="N20" s="15">
        <f t="shared" ca="1" si="5"/>
        <v>0</v>
      </c>
      <c r="O20" s="11">
        <v>18.232298199999999</v>
      </c>
      <c r="P20" s="11">
        <v>42.474657299999997</v>
      </c>
    </row>
    <row r="21" spans="1:16" ht="15.75" customHeight="1" x14ac:dyDescent="0.2">
      <c r="A21" s="33">
        <v>8</v>
      </c>
      <c r="B21" s="33" t="s">
        <v>16</v>
      </c>
      <c r="C21" s="33" t="s">
        <v>25</v>
      </c>
      <c r="D21" s="33">
        <v>1</v>
      </c>
      <c r="E21" s="37" t="s">
        <v>18</v>
      </c>
      <c r="F21" s="34">
        <v>45981</v>
      </c>
      <c r="G21" s="38">
        <v>25</v>
      </c>
      <c r="H21" s="34">
        <v>46001</v>
      </c>
      <c r="I21" s="34">
        <f t="shared" ca="1" si="1"/>
        <v>45977</v>
      </c>
      <c r="J21" s="33">
        <f t="shared" ca="1" si="2"/>
        <v>0</v>
      </c>
      <c r="K21" s="33">
        <f t="shared" ca="1" si="3"/>
        <v>25</v>
      </c>
      <c r="L21" s="35">
        <f t="shared" ca="1" si="4"/>
        <v>0</v>
      </c>
      <c r="M21" s="35">
        <v>0</v>
      </c>
      <c r="N21" s="36">
        <f t="shared" ca="1" si="5"/>
        <v>0</v>
      </c>
      <c r="O21" s="38">
        <v>26.4060509</v>
      </c>
      <c r="P21" s="38">
        <v>50.183380100000001</v>
      </c>
    </row>
    <row r="22" spans="1:16" ht="15.75" customHeight="1" x14ac:dyDescent="0.2">
      <c r="A22" s="33">
        <v>8</v>
      </c>
      <c r="B22" s="33" t="s">
        <v>16</v>
      </c>
      <c r="C22" s="33" t="s">
        <v>25</v>
      </c>
      <c r="D22" s="33">
        <v>3</v>
      </c>
      <c r="E22" s="37" t="s">
        <v>24</v>
      </c>
      <c r="F22" s="34">
        <v>45981</v>
      </c>
      <c r="G22" s="38">
        <v>20</v>
      </c>
      <c r="H22" s="34">
        <v>45982</v>
      </c>
      <c r="I22" s="34">
        <f t="shared" ca="1" si="1"/>
        <v>45977</v>
      </c>
      <c r="J22" s="33">
        <f t="shared" ca="1" si="2"/>
        <v>0</v>
      </c>
      <c r="K22" s="33">
        <f t="shared" ca="1" si="3"/>
        <v>20</v>
      </c>
      <c r="L22" s="35">
        <f t="shared" ca="1" si="4"/>
        <v>0</v>
      </c>
      <c r="M22" s="35">
        <v>0</v>
      </c>
      <c r="N22" s="36">
        <f t="shared" ca="1" si="5"/>
        <v>0</v>
      </c>
      <c r="O22" s="38">
        <v>26.4060509</v>
      </c>
      <c r="P22" s="38">
        <v>50.183380100000001</v>
      </c>
    </row>
    <row r="23" spans="1:16" ht="15.75" customHeight="1" x14ac:dyDescent="0.2">
      <c r="A23" s="33">
        <v>8</v>
      </c>
      <c r="B23" s="33" t="s">
        <v>16</v>
      </c>
      <c r="C23" s="33" t="s">
        <v>25</v>
      </c>
      <c r="D23" s="33">
        <v>2</v>
      </c>
      <c r="E23" s="37" t="s">
        <v>19</v>
      </c>
      <c r="F23" s="34">
        <v>45981</v>
      </c>
      <c r="G23" s="38">
        <v>35</v>
      </c>
      <c r="H23" s="34">
        <v>46001</v>
      </c>
      <c r="I23" s="34">
        <f t="shared" ca="1" si="1"/>
        <v>45977</v>
      </c>
      <c r="J23" s="33">
        <f t="shared" ca="1" si="2"/>
        <v>0</v>
      </c>
      <c r="K23" s="33">
        <f t="shared" ca="1" si="3"/>
        <v>35</v>
      </c>
      <c r="L23" s="35">
        <f t="shared" ca="1" si="4"/>
        <v>0</v>
      </c>
      <c r="M23" s="35">
        <v>0</v>
      </c>
      <c r="N23" s="36">
        <f t="shared" ca="1" si="5"/>
        <v>0</v>
      </c>
      <c r="O23" s="38">
        <v>26.4060509</v>
      </c>
      <c r="P23" s="38">
        <v>50.183380100000001</v>
      </c>
    </row>
  </sheetData>
  <autoFilter ref="A1:P23" xr:uid="{00000000-0001-0000-0000-000000000000}">
    <sortState xmlns:xlrd2="http://schemas.microsoft.com/office/spreadsheetml/2017/richdata2" ref="A2:P26">
      <sortCondition ref="A1:A13"/>
    </sortState>
  </autoFilter>
  <conditionalFormatting sqref="F2:F23">
    <cfRule type="top10" dxfId="2" priority="42" rank="1"/>
    <cfRule type="top10" dxfId="1" priority="43" bottom="1" rank="1"/>
  </conditionalFormatting>
  <conditionalFormatting sqref="H2:H23">
    <cfRule type="top10" dxfId="0" priority="46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Ahmad El-Sawy</cp:lastModifiedBy>
  <dcterms:modified xsi:type="dcterms:W3CDTF">2025-11-16T16:14:19Z</dcterms:modified>
</cp:coreProperties>
</file>